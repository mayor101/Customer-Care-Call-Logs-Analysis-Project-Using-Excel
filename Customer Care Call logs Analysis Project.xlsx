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hidePivotFieldList="1"/>
  <mc:AlternateContent xmlns:mc="http://schemas.openxmlformats.org/markup-compatibility/2006">
    <mc:Choice Requires="x15">
      <x15ac:absPath xmlns:x15ac="http://schemas.microsoft.com/office/spreadsheetml/2010/11/ac" url="C:\Users\SOBarrah\Downloads\"/>
    </mc:Choice>
  </mc:AlternateContent>
  <xr:revisionPtr revIDLastSave="0" documentId="13_ncr:1_{FCAE0954-FA2E-45B3-AD84-928DBDD4126E}" xr6:coauthVersionLast="47" xr6:coauthVersionMax="47" xr10:uidLastSave="{00000000-0000-0000-0000-000000000000}"/>
  <bookViews>
    <workbookView xWindow="-108" yWindow="-108" windowWidth="23256" windowHeight="12456" activeTab="3" xr2:uid="{26D4546B-D2A1-4444-8EAF-A6228F96F0C1}"/>
  </bookViews>
  <sheets>
    <sheet name="Data" sheetId="2" r:id="rId1"/>
    <sheet name="Assets" sheetId="4" r:id="rId2"/>
    <sheet name="Pivot Tables" sheetId="6" r:id="rId3"/>
    <sheet name="Report" sheetId="5" r:id="rId4"/>
  </sheets>
  <definedNames>
    <definedName name="_xlnm._FilterDatabase" localSheetId="0" hidden="1">Data!$B$3:$H$1003</definedName>
    <definedName name="_xlcn.WorksheetConnection_DatesetforCustomerCareCalllogs.xlsxcalls1" hidden="1">calls[]</definedName>
    <definedName name="_xlcn.WorksheetConnection_DatesetforCustomerCareCalllogs.xlsxcustomers1" hidden="1">customers[]</definedName>
    <definedName name="Slicer_Representativ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ls" name="calls" connection="WorksheetConnection_Dateset for Customer Care Call logs.xlsx!calls"/>
          <x15:modelTable id="customers" name="customers" connection="WorksheetConnection_Dateset for Customer Care Call logs.xlsx!customer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9" i="5" l="1" a="1"/>
  <c r="O19" i="5" s="1"/>
  <c r="J43" i="6" l="1"/>
  <c r="F47" i="6" a="1"/>
  <c r="F47"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J48" i="6" l="1"/>
  <c r="I50" i="6"/>
  <c r="J51" i="6"/>
  <c r="I49" i="6"/>
  <c r="J50" i="6"/>
  <c r="I47" i="6"/>
  <c r="I48" i="6"/>
  <c r="J49" i="6"/>
  <c r="I51" i="6"/>
  <c r="J47"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46E4898-497D-4DA3-BF0F-3CADE910682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F247EC5-AEB9-431D-9FE5-8A9778BDF983}" name="WorksheetConnection_Dateset for Customer Care Call logs.xlsx!calls" type="102" refreshedVersion="8" minRefreshableVersion="5">
    <extLst>
      <ext xmlns:x15="http://schemas.microsoft.com/office/spreadsheetml/2010/11/main" uri="{DE250136-89BD-433C-8126-D09CA5730AF9}">
        <x15:connection id="calls" autoDelete="1">
          <x15:rangePr sourceName="_xlcn.WorksheetConnection_DatesetforCustomerCareCalllogs.xlsxcalls1"/>
        </x15:connection>
      </ext>
    </extLst>
  </connection>
  <connection id="3" xr16:uid="{F148B413-A4B9-4B3D-A2FF-E57AA2BE49C0}" name="WorksheetConnection_Dateset for Customer Care Call logs.xlsx!customers" type="102" refreshedVersion="8" minRefreshableVersion="5">
    <extLst>
      <ext xmlns:x15="http://schemas.microsoft.com/office/spreadsheetml/2010/11/main" uri="{DE250136-89BD-433C-8126-D09CA5730AF9}">
        <x15:connection id="customers">
          <x15:rangePr sourceName="_xlcn.WorksheetConnection_DatesetforCustomerCareCalllogs.xlsxcustomers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<sst xmlns="http://schemas.openxmlformats.org/spreadsheetml/2006/main" count="3183" uniqueCount="1078">
  <si>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</si>
  <si>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</si>
  <si>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</si>
  <si>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</si>
  <si>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</si>
  <si>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</si>
  <si>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</si>
  <si>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</si>
  <si>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</si>
  <si>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</si>
  <si>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</si>
  <si>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</si>
  <si>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</si>
  <si>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</si>
  <si>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</si>
  <si>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</si>
  <si>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</si>
  <si>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</si>
  <si>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</si>
  <si>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</si>
  <si>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</si>
  <si>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</si>
  <si>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</si>
  <si>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</si>
  <si>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</si>
  <si>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</si>
  <si>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</si>
  <si>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</si>
  <si>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</si>
  <si>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</si>
  <si>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</si>
  <si>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</si>
  <si>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</si>
  <si>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</si>
  <si>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</si>
  <si>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</si>
  <si>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</si>
  <si>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</si>
  <si>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</si>
  <si>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</si>
  <si>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</si>
  <si>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</si>
  <si>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</si>
  <si>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</si>
  <si>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</si>
  <si>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</si>
  <si>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</si>
  <si>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</si>
  <si>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</si>
  <si>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</si>
  <si>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</si>
  <si>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</si>
  <si>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</si>
  <si>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</si>
  <si>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</si>
  <si>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</si>
  <si>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</si>
  <si>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</si>
  <si>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</si>
  <si>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</si>
  <si>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</si>
  <si>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</si>
  <si>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</si>
  <si>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</si>
  <si>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</si>
  <si>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</si>
  <si>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</si>
  <si>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</si>
  <si>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</si>
  <si>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</si>
  <si>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</si>
  <si>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</si>
  <si>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</si>
  <si>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</si>
  <si>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</si>
  <si>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</si>
  <si>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</si>
  <si>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</si>
  <si>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</si>
  <si>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</si>
  <si>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</si>
  <si>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</si>
  <si>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</si>
  <si>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</si>
  <si>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</si>
  <si>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</si>
  <si>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</si>
  <si>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</si>
  <si>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</si>
  <si>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</si>
  <si>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</si>
  <si>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</si>
  <si>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</si>
  <si>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</si>
  <si>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</si>
  <si>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</si>
  <si>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</si>
  <si>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</si>
  <si>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</si>
  <si>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</si>
  <si>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</si>
  <si>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</si>
  <si>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</si>
  <si>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</si>
  <si>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</si>
  <si>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</si>
  <si>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</si>
  <si>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</si>
  <si>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</si>
  <si>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</si>
  <si>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</si>
  <si>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</si>
  <si>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</si>
  <si>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</si>
  <si>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</si>
  <si>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</si>
  <si>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</si>
  <si>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</si>
  <si>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</si>
  <si>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</si>
  <si>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</si>
  <si>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</si>
  <si>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</si>
  <si>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</si>
  <si>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</si>
  <si>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</si>
  <si>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</si>
  <si>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</si>
  <si>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</si>
  <si>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</si>
  <si>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</si>
  <si>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</si>
  <si>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</si>
  <si>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</si>
  <si>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</si>
  <si>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</si>
  <si>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</si>
  <si>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</si>
  <si>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</si>
  <si>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</si>
  <si>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</si>
  <si>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</si>
  <si>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</si>
  <si>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</si>
  <si>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</si>
  <si>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</si>
  <si>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</si>
  <si>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</si>
  <si>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</si>
  <si>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</si>
  <si>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</si>
  <si>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</si>
  <si>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</si>
  <si>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</si>
  <si>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</si>
  <si>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</si>
  <si>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</si>
  <si>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</si>
  <si>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</si>
  <si>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</si>
  <si>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</si>
  <si>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</si>
  <si>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</si>
  <si>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</si>
  <si>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</si>
  <si>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</si>
  <si>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</si>
  <si>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</si>
  <si>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</si>
  <si>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</si>
  <si>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</si>
  <si>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</si>
  <si>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</si>
  <si>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</si>
  <si>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</si>
  <si>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</si>
  <si>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</si>
  <si>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</si>
  <si>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</si>
  <si>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</si>
  <si>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</si>
  <si>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</si>
  <si>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</si>
  <si>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</si>
  <si>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</si>
  <si>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</si>
  <si>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</si>
  <si>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</si>
  <si>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</si>
  <si>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</si>
  <si>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</si>
  <si>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</si>
  <si>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</si>
  <si>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</si>
  <si>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</si>
  <si>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</si>
  <si>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</si>
  <si>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</si>
  <si>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</si>
  <si>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</si>
  <si>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</si>
  <si>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</si>
  <si>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</si>
  <si>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</si>
  <si>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</si>
  <si>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</si>
  <si>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</si>
  <si>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</si>
  <si>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</si>
  <si>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</si>
  <si>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</si>
  <si>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</si>
  <si>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</si>
  <si>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</si>
  <si>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</si>
  <si>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</si>
  <si>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</si>
  <si>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</si>
  <si>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</si>
  <si>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</si>
  <si>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</si>
  <si>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</si>
  <si>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</si>
  <si>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</si>
  <si>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</si>
  <si>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</si>
  <si>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</si>
  <si>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</si>
  <si>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</si>
  <si>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</si>
  <si>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</si>
  <si>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</si>
  <si>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</si>
  <si>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</si>
  <si>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</si>
  <si>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</si>
  <si>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</si>
  <si>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</si>
  <si>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</si>
  <si>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</si>
  <si>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</si>
  <si>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</si>
  <si>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</si>
  <si>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</si>
  <si>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</si>
  <si>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</si>
  <si>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</si>
  <si>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</si>
  <si>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</si>
  <si>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</si>
  <si>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</si>
  <si>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</si>
  <si>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</si>
  <si>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</si>
  <si>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</si>
  <si>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</si>
  <si>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</si>
  <si>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</si>
  <si>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</si>
  <si>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</si>
  <si>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</si>
  <si>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</si>
  <si>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</si>
  <si>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</si>
  <si>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</si>
  <si>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</si>
  <si>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</si>
  <si>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</si>
  <si>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</si>
  <si>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</si>
  <si>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</si>
  <si>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</si>
  <si>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</si>
  <si>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</si>
  <si>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</si>
  <si>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</si>
  <si>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</si>
  <si>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</si>
  <si>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</si>
  <si>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</si>
  <si>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</si>
  <si>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</si>
  <si>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</si>
  <si>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</si>
  <si>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</si>
  <si>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</si>
  <si>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</si>
  <si>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</si>
  <si>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</si>
  <si>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</si>
  <si>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</si>
  <si>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</si>
  <si>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</si>
  <si>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</si>
  <si>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</si>
  <si>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</si>
  <si>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</si>
  <si>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</si>
  <si>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</si>
  <si>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</si>
  <si>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</si>
  <si>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</si>
  <si>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</si>
  <si>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</si>
  <si>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</si>
  <si>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</si>
  <si>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</si>
  <si>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</si>
  <si>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</si>
  <si>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</si>
  <si>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</si>
  <si>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</si>
  <si>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</si>
  <si>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</si>
  <si>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</si>
  <si>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</si>
  <si>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</si>
  <si>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</si>
  <si>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</si>
  <si>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</si>
  <si>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</si>
  <si>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</si>
  <si>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</si>
  <si>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</si>
  <si>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</si>
  <si>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</si>
  <si>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</si>
  <si>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</si>
  <si>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</si>
  <si>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</si>
  <si>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</si>
  <si>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</si>
  <si>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</si>
  <si>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</si>
  <si>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</si>
  <si>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</si>
  <si>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</si>
  <si>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</si>
  <si>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</si>
  <si>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</si>
  <si>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</si>
  <si>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</si>
  <si>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</si>
  <si>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</si>
  <si>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</si>
  <si>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</si>
  <si>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</si>
  <si>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</si>
  <si>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</si>
  <si>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</si>
  <si>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</si>
  <si>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</si>
  <si>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</si>
  <si>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</si>
  <si>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</si>
  <si>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</si>
  <si>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</si>
  <si>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</si>
  <si>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</si>
  <si>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</si>
  <si>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</si>
  <si>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</si>
  <si>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</si>
  <si>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</si>
  <si>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</si>
  <si>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</si>
  <si>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</si>
  <si>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</si>
  <si>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</si>
  <si>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</si>
  <si>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</si>
  <si>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</si>
  <si>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</si>
  <si>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</si>
  <si>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</si>
  <si>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</si>
  <si>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</si>
  <si>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</si>
  <si>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</si>
  <si>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</si>
  <si>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</si>
  <si>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</si>
  <si>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</si>
  <si>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</si>
  <si>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</si>
  <si>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</si>
  <si>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</si>
  <si>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</si>
  <si>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</si>
  <si>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</si>
  <si>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</si>
  <si>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</si>
  <si>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</si>
  <si>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</si>
  <si>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</si>
  <si>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</si>
  <si>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</si>
  <si>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</si>
  <si>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</si>
  <si>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</si>
  <si>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</si>
  <si>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</si>
  <si>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</si>
  <si>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</si>
  <si>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</si>
  <si>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</si>
  <si>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</si>
  <si>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</si>
  <si>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</si>
  <si>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</si>
  <si>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</si>
  <si>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</si>
  <si>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</si>
  <si>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</si>
  <si>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</si>
  <si>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</si>
  <si>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</si>
  <si>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</si>
  <si>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</si>
  <si>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</si>
  <si>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</si>
  <si>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</si>
  <si>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</si>
  <si>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</si>
  <si>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</si>
  <si>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</si>
  <si>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</si>
  <si>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</si>
  <si>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</si>
  <si>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</si>
  <si>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</si>
  <si>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</si>
  <si>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</si>
  <si>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</si>
  <si>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</si>
  <si>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</si>
  <si>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</si>
  <si>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</si>
  <si>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</si>
  <si>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</si>
  <si>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</si>
  <si>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</si>
  <si>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</si>
  <si>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</si>
  <si>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</si>
  <si>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</si>
  <si>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</si>
  <si>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</si>
  <si>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</si>
  <si>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</si>
  <si>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</si>
  <si>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</si>
  <si>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</si>
  <si>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</si>
  <si>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</si>
  <si>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</si>
  <si>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</si>
  <si>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</si>
  <si>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</si>
  <si>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</si>
  <si>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</si>
  <si>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</si>
  <si>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</si>
  <si>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</si>
  <si>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</si>
  <si>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</si>
  <si>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</si>
  <si>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</si>
  <si>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</si>
  <si>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</si>
  <si>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</si>
  <si>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</si>
  <si>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</si>
  <si>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</si>
  <si>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</si>
  <si>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</si>
  <si>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</si>
  <si>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</si>
  <si>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</si>
  <si>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</si>
  <si>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</si>
  <si>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</si>
  <si>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</si>
  <si>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</si>
  <si>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</si>
  <si>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</si>
  <si>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</si>
  <si>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</si>
  <si>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</si>
  <si>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</si>
  <si>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</si>
  <si>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</si>
  <si>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</si>
  <si>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</si>
  <si>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</si>
  <si>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</si>
  <si>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</si>
  <si>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</si>
  <si>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</si>
  <si>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</si>
  <si>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</si>
  <si>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</si>
  <si>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</si>
  <si>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</si>
  <si>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</si>
  <si>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</si>
  <si>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</si>
  <si>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</si>
  <si>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</si>
  <si>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</si>
  <si>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</si>
  <si>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</si>
  <si>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</si>
  <si>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</si>
  <si>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</si>
  <si>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</si>
  <si>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</si>
  <si>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</si>
  <si>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</si>
  <si>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</si>
  <si>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</si>
  <si>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</si>
  <si>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</si>
  <si>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</si>
  <si>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</si>
  <si>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</si>
  <si>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</si>
  <si>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</si>
  <si>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</si>
  <si>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</si>
  <si>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</si>
  <si>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</si>
  <si>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</si>
  <si>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</si>
  <si>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</si>
  <si>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</si>
  <si>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</si>
  <si>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</si>
  <si>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</si>
  <si>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</si>
  <si>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</si>
  <si>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</si>
  <si>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</si>
  <si>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</si>
  <si>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</si>
  <si>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</si>
  <si>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</si>
  <si>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</si>
  <si>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</si>
  <si>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</si>
  <si>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</si>
  <si>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</si>
  <si>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</si>
  <si>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</si>
  <si>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</si>
  <si>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</si>
  <si>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</si>
  <si>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</si>
  <si>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</si>
  <si>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</si>
  <si>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</si>
  <si>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</si>
  <si>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</si>
  <si>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</si>
  <si>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</si>
  <si>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</si>
  <si>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</si>
  <si>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</si>
  <si>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</si>
  <si>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</si>
  <si>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</si>
  <si>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</si>
  <si>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</si>
  <si>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</si>
  <si>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</si>
  <si>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</si>
  <si>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</si>
  <si>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</si>
  <si>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</si>
  <si>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</si>
  <si>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</si>
  <si>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</si>
  <si>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</si>
  <si>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</si>
  <si>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</si>
  <si>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</si>
  <si>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</si>
  <si>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</si>
  <si>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</si>
  <si>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</si>
  <si>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</si>
  <si>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</si>
  <si>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</si>
  <si>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</si>
  <si>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</si>
  <si>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</si>
  <si>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</si>
  <si>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</si>
  <si>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</si>
  <si>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</si>
  <si>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</si>
  <si>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</si>
  <si>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</si>
  <si>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</si>
  <si>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</si>
  <si>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</si>
  <si>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</si>
  <si>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</si>
  <si>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</si>
  <si>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</si>
  <si>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</si>
  <si>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</si>
  <si>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</si>
  <si>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</si>
  <si>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</si>
  <si>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</si>
  <si>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</si>
  <si>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</si>
  <si>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</si>
  <si>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</si>
  <si>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</si>
  <si>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</si>
  <si>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</si>
  <si>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</si>
  <si>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</si>
  <si>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</si>
  <si>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</si>
  <si>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</si>
  <si>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</si>
  <si>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</si>
  <si>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</si>
  <si>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</si>
  <si>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</si>
  <si>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</si>
  <si>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</si>
  <si>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</si>
  <si>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</si>
  <si>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</si>
  <si>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</si>
  <si>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</si>
  <si>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</si>
  <si>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</si>
  <si>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</si>
  <si>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</si>
  <si>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</si>
  <si>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</si>
  <si>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</si>
  <si>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</si>
  <si>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</si>
  <si>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</si>
  <si>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</si>
  <si>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</si>
  <si>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</si>
  <si>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</si>
  <si>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</si>
  <si>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</si>
  <si>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</si>
  <si>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</si>
  <si>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</si>
  <si>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</si>
  <si>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</si>
  <si>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</si>
  <si>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</si>
  <si>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</si>
  <si>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</si>
  <si>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</si>
  <si>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</si>
  <si>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</si>
  <si>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</si>
  <si>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</si>
  <si>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</si>
  <si>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</si>
  <si>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</si>
  <si>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</si>
  <si>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</si>
  <si>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</si>
  <si>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</si>
  <si>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</si>
  <si>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</si>
  <si>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</si>
  <si>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</si>
  <si>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</si>
  <si>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</si>
  <si>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</si>
  <si>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</si>
  <si>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</si>
  <si>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</si>
  <si>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</si>
  <si>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</si>
  <si>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</si>
  <si>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</si>
  <si>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</si>
  <si>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</si>
  <si>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</si>
  <si>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</si>
  <si>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</si>
  <si>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</si>
  <si>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</si>
  <si>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</si>
  <si>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</si>
  <si>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</si>
  <si>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</si>
  <si>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</si>
  <si>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</si>
  <si>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</si>
  <si>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</si>
  <si>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</si>
  <si>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</si>
  <si>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</si>
  <si>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</si>
  <si>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</si>
  <si>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</si>
  <si>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</si>
  <si>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</si>
  <si>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</si>
  <si>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</si>
  <si>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</si>
  <si>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</si>
  <si>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</si>
  <si>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</si>
  <si>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</si>
  <si>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</si>
  <si>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</si>
  <si>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</si>
  <si>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</si>
  <si>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</si>
  <si>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</si>
  <si>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</si>
  <si>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</si>
  <si>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</si>
  <si>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</si>
  <si>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</si>
  <si>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</si>
  <si>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</si>
  <si>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</si>
  <si>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</si>
  <si>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</si>
  <si>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</si>
  <si>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</si>
  <si>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</si>
  <si>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</si>
  <si>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</si>
  <si>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</si>
  <si>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</si>
  <si>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</si>
  <si>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</si>
  <si>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</si>
  <si>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</si>
  <si>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</si>
  <si>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</si>
  <si>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</si>
  <si>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</si>
  <si>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</si>
  <si>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</si>
  <si>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</si>
  <si>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</si>
  <si>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</si>
  <si>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</si>
  <si>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</si>
  <si>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</si>
  <si>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</si>
  <si>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</si>
  <si>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</si>
  <si>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</si>
  <si>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</si>
  <si>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</si>
  <si>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</si>
  <si>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</si>
  <si>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</si>
  <si>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</si>
  <si>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</si>
  <si>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</si>
  <si>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</si>
  <si>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</si>
  <si>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</si>
  <si>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</si>
  <si>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</si>
  <si>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</si>
  <si>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</si>
  <si>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</si>
  <si>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</si>
  <si>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</si>
  <si>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</si>
  <si>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</si>
  <si>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</si>
  <si>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</si>
  <si>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</si>
  <si>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</si>
  <si>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</si>
  <si>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</si>
  <si>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</si>
  <si>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</si>
  <si>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</si>
  <si>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</si>
  <si>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</si>
  <si>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</si>
  <si>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</si>
  <si>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</si>
  <si>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</si>
  <si>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</si>
  <si>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</si>
  <si>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</si>
  <si>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</si>
  <si>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</si>
  <si>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</si>
  <si>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</si>
  <si>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</si>
  <si>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</si>
  <si>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</si>
  <si>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</si>
  <si>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</si>
  <si>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</si>
  <si>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</si>
  <si>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</si>
  <si>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</si>
  <si>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</si>
  <si>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</si>
  <si>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</si>
  <si>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</si>
  <si>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</si>
  <si>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</si>
  <si>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</si>
  <si>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</si>
  <si>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</si>
  <si>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</si>
  <si>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</si>
  <si>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</si>
  <si>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</si>
  <si>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</si>
  <si>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</si>
  <si>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</si>
  <si>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</si>
  <si>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</si>
  <si>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</si>
  <si>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</si>
  <si>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</si>
  <si>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</si>
  <si>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</si>
  <si>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</si>
  <si>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</si>
  <si>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</si>
  <si>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</si>
  <si>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</si>
  <si>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</si>
  <si>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</si>
  <si>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</si>
  <si>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</si>
  <si>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</si>
  <si>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</si>
  <si>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</si>
  <si>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</si>
  <si>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</si>
  <si>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</si>
  <si>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</si>
  <si>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</si>
  <si>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</si>
  <si>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</si>
  <si>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</si>
  <si>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</si>
  <si>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</si>
  <si>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</si>
  <si>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</si>
  <si>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</si>
  <si>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</si>
  <si>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</si>
  <si>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</si>
  <si>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</si>
  <si>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</si>
  <si>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</si>
  <si>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</si>
  <si>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</si>
  <si>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</si>
  <si>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</si>
  <si>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</si>
  <si>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</si>
  <si>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</si>
  <si>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</si>
  <si>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</si>
  <si>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</si>
  <si>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</si>
  <si>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</si>
  <si>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</si>
  <si>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</si>
  <si>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</si>
  <si>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</si>
  <si>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</si>
  <si>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</si>
  <si>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</si>
  <si>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</si>
  <si>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</si>
  <si>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</si>
  <si>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</si>
  <si>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</si>
  <si>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</si>
  <si>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</si>
  <si>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</si>
  <si>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</si>
  <si>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</si>
  <si>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</si>
  <si>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</si>
  <si>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</si>
  <si>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</si>
  <si>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</si>
  <si>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</si>
  <si>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</si>
  <si>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</si>
  <si>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</si>
  <si>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</si>
  <si>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</si>
  <si>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</si>
  <si>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</si>
  <si>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</si>
  <si>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</si>
  <si>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</si>
  <si>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</si>
  <si>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</si>
  <si>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</si>
  <si>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</si>
  <si>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</si>
  <si>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</si>
  <si>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</si>
  <si>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</si>
  <si>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</si>
  <si>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</si>
  <si>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</si>
  <si>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</si>
  <si>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</si>
  <si>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</si>
  <si>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</si>
  <si>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</si>
  <si>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</si>
  <si>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</si>
  <si>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</si>
  <si>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</si>
  <si>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</si>
  <si>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</si>
  <si>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</si>
  <si>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</si>
  <si>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</si>
  <si>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</si>
  <si>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</si>
  <si>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</si>
  <si>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</si>
  <si>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</si>
  <si>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</si>
  <si>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</si>
  <si>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</si>
  <si>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</si>
  <si>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</si>
  <si>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</si>
  <si>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</si>
  <si>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</si>
  <si>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</si>
  <si>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</si>
  <si>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</si>
  <si>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</si>
  <si>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</si>
  <si>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</si>
  <si>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</si>
  <si>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</si>
  <si>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</si>
  <si>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</si>
  <si>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</si>
  <si>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</si>
  <si>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</si>
  <si>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</si>
  <si>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</si>
  <si>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</si>
  <si>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</si>
  <si>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</si>
  <si>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</si>
  <si>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</si>
  <si>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</si>
  <si>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</si>
  <si>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</si>
  <si>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</si>
  <si>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</si>
  <si>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</si>
  <si>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</si>
  <si>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</si>
  <si>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</si>
  <si>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</si>
  <si>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</si>
  <si>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</si>
  <si>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</si>
  <si>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</si>
  <si>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</si>
  <si>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</si>
  <si>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</si>
  <si>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</si>
  <si>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</si>
  <si>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</si>
  <si>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</si>
  <si>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</si>
  <si>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</si>
  <si>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</si>
  <si>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</si>
  <si>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</si>
  <si>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</si>
  <si>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</si>
  <si>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</si>
  <si>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</si>
  <si>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</si>
  <si>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</si>
  <si>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</si>
  <si>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</si>
  <si>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</si>
  <si>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</si>
  <si>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</si>
  <si>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</si>
  <si>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</si>
  <si>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</si>
  <si>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</si>
  <si>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</si>
  <si>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</si>
  <si>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</si>
  <si>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</si>
  <si>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</si>
  <si>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</si>
  <si>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</si>
  <si>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</si>
  <si>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</si>
  <si>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</si>
  <si>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</si>
  <si>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</si>
  <si>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</si>
  <si>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</si>
  <si>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</si>
  <si>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</si>
  <si>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</si>
  <si>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</si>
  <si>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</si>
  <si>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</si>
  <si>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</si>
  <si>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</si>
  <si>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</si>
  <si>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</si>
  <si>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</si>
  <si>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</si>
  <si>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</si>
  <si>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</si>
  <si>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Call Count</t>
  </si>
  <si>
    <t>Total Amount</t>
  </si>
  <si>
    <t>Total Duration</t>
  </si>
  <si>
    <t>Avg Rating</t>
  </si>
  <si>
    <t>5* Calls</t>
  </si>
  <si>
    <t>Row Labels</t>
  </si>
  <si>
    <t>Grand Total</t>
  </si>
  <si>
    <t>Column Labels</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</si>
  <si>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</si>
  <si>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</si>
  <si>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</si>
  <si>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</si>
  <si>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</si>
  <si>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</si>
  <si>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</si>
  <si>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</si>
  <si>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</si>
  <si>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</si>
  <si>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</si>
  <si>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</si>
  <si>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</si>
  <si>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</si>
  <si>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</si>
  <si>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</si>
  <si>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</si>
  <si>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</si>
  <si>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</si>
  <si>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</si>
  <si>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</si>
  <si>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Rep</t>
  </si>
  <si>
    <t>Calls</t>
  </si>
  <si>
    <t>Amount</t>
  </si>
  <si>
    <t>Sel Calls</t>
  </si>
  <si>
    <t>Sel Amount</t>
  </si>
  <si>
    <t>Select rep</t>
  </si>
  <si>
    <t xml:space="preserve">Total </t>
  </si>
  <si>
    <t>CALL CENTER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</si>
</sst>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5" formatCode="&quot;£&quot;#,##0;\-&quot;£&quot;#,##0"/>
    <numFmt numFmtId="164" formatCode="[$-409]d\-mmm\-yy;@"/>
    <numFmt numFmtId="165" formatCode="0.0"/>
    <numFmt numFmtId="166" formatCode="&quot;£&quot;#,###.0,.&quot;k&quot;"/>
  </numFmts>
  <fonts count="5"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36"/>
      <color theme="9"/>
      <name val="Aptos ExtraBold"/>
      <family val="2"/>
      <scheme val="major"/>
    </font>
  </fonts>
  <fills count="6">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8"/>
        <bgColor indexed="64"/>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4">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5"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4" borderId="0" xfId="0" applyFill="1" applyAlignment="1">
      <alignment horizontal="left"/>
    </xf>
    <xf numFmtId="0" fontId="0" fillId="0" borderId="0" xfId="0" applyAlignment="1">
      <alignment horizontal="left" indent="1"/>
    </xf>
    <xf numFmtId="0" fontId="0" fillId="5" borderId="0" xfId="0" applyFill="1"/>
    <xf numFmtId="0" fontId="0" fillId="5" borderId="0" xfId="0" applyFill="1" applyAlignment="1">
      <alignment horizontal="left"/>
    </xf>
    <xf numFmtId="0" fontId="0" fillId="5" borderId="0" xfId="0" applyFill="1" applyAlignment="1">
      <alignment horizontal="left" indent="1"/>
    </xf>
    <xf numFmtId="5" fontId="0" fillId="5" borderId="0" xfId="0" applyNumberFormat="1" applyFill="1"/>
    <xf numFmtId="0" fontId="4" fillId="5" borderId="0" xfId="0" applyFont="1" applyFill="1"/>
  </cellXfs>
  <cellStyles count="1">
    <cellStyle name="Normal" xfId="0" builtinId="0"/>
  </cellStyles>
  <dxfs count="27">
    <dxf>
      <fill>
        <patternFill>
          <bgColor theme="8" tint="0.59996337778862885"/>
        </patternFill>
      </fill>
      <border>
        <vertical/>
        <horizontal/>
      </border>
    </dxf>
    <dxf>
      <fill>
        <patternFill>
          <bgColor theme="8" tint="0.39994506668294322"/>
        </patternFill>
      </fill>
      <border>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theme="8"/>
        </patternFill>
      </fill>
    </dxf>
    <dxf>
      <font>
        <b/>
        <color theme="1"/>
      </font>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font>
        <b/>
        <color theme="1"/>
      </font>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font>
        <b/>
        <color theme="1"/>
      </font>
      <border diagonalUp="0" diagonalDown="0">
        <left/>
        <right/>
        <top/>
        <bottom/>
        <vertical/>
        <horizontal/>
      </border>
    </dxf>
    <dxf>
      <font>
        <b val="0"/>
        <i val="0"/>
        <color theme="1"/>
      </font>
      <border diagonalUp="0" diagonalDown="0">
        <left/>
        <right/>
        <top/>
        <bottom/>
        <vertical/>
        <horizontal/>
      </border>
    </dxf>
    <dxf>
      <font>
        <color theme="1"/>
      </font>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6" defaultTableStyle="TableStyleMedium2" defaultPivotStyle="PivotStyleLight16">
    <tableStyle name="Slicer Style 1" pivot="0" table="0" count="1" xr9:uid="{25BABDA2-DB3D-41F6-98D0-3EE7CBB0176F}">
      <tableStyleElement type="wholeTable" dxfId="26"/>
    </tableStyle>
    <tableStyle name="SlicerStyleDark5 2" pivot="0" table="0" count="10" xr9:uid="{E07A64EE-F542-48F1-B239-0EB87C88C02E}">
      <tableStyleElement type="wholeTable" dxfId="25"/>
      <tableStyleElement type="headerRow" dxfId="24"/>
    </tableStyle>
    <tableStyle name="SlicerStyleDark5 3" pivot="0" table="0" count="9" xr9:uid="{F80BF787-8DC1-4C41-9E6C-F6983F322A5F}">
      <tableStyleElement type="wholeTable" dxfId="23"/>
    </tableStyle>
    <tableStyle name="SlicerStyleDark5 4" pivot="0" table="0" count="10" xr9:uid="{20B930F5-5A7D-471E-86AF-A5DA723CEC76}">
      <tableStyleElement type="wholeTable" dxfId="22"/>
      <tableStyleElement type="headerRow" dxfId="21"/>
    </tableStyle>
    <tableStyle name="SlicerStyleDark6 2" pivot="0" table="0" count="10" xr9:uid="{C46DC83B-295E-42B5-996E-6B39789672F9}">
      <tableStyleElement type="wholeTable" dxfId="20"/>
      <tableStyleElement type="headerRow" dxfId="19"/>
    </tableStyle>
    <tableStyle name="SlicerStyleDark6 3" pivot="0" table="0" count="10" xr9:uid="{F6808F47-8E67-4AF9-9713-053657C18C5F}">
      <tableStyleElement type="wholeTable" dxfId="18"/>
      <tableStyleElement type="headerRow" dxfId="17"/>
    </tableStyle>
  </tableStyle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0" tint="-4.9989318521683403E-2"/>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5 4">
        <x14:slicerStyle name="SlicerStyleDark5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5 3">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Dark5 4">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6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[Dateset for Customer Care Call logs.xlsx]Pivot Tables!monthly trend</c:name>
    <c:fmtId val="12"/>
  </c:pivotSource>
  <c:chart>
    <c:title>
      <c:tx>
        <c:rich>
          <a:bodyPr rot="0" spcFirstLastPara="1" vertOverflow="ellipsis" vert="horz" wrap="square" anchor="ctr" anchorCtr="1"/>
          <a:lstStyle/>
          <a:p>
            <a:pPr>
              <a:defRPr sz="1400" b="0" i="0" u="none" strike="noStrike" kern="1200" spc="0" baseline="0">
                <a:solidFill>
                  <a:schemeClr val="accent6"/>
                </a:solidFill>
                <a:latin typeface="+mn-lt"/>
                <a:ea typeface="+mn-ea"/>
                <a:cs typeface="+mn-cs"/>
              </a:defRPr>
            </a:pPr>
            <a:r>
              <a:rPr lang="en-GB">
                <a:solidFill>
                  <a:schemeClr val="accent6"/>
                </a:solidFill>
              </a:rPr>
              <a:t>Call</a:t>
            </a:r>
            <a:r>
              <a:rPr lang="en-GB" baseline="0">
                <a:solidFill>
                  <a:schemeClr val="accent6"/>
                </a:solidFill>
              </a:rPr>
              <a:t> Trend</a:t>
            </a:r>
            <a:endParaRPr lang="en-GB">
              <a:solidFill>
                <a:schemeClr val="accent6"/>
              </a:solidFill>
            </a:endParaRPr>
          </a:p>
        </c:rich>
      </c:tx>
      <c:layout>
        <c:manualLayout>
          <c:xMode val="edge"/>
          <c:yMode val="edge"/>
          <c:x val="2.1527777777777778E-2"/>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6">
                  <a:alpha val="50000"/>
                </a:schemeClr>
              </a:gs>
              <a:gs pos="100000">
                <a:schemeClr val="accent5">
                  <a:lumMod val="100000"/>
                </a:schemeClr>
              </a:gs>
            </a:gsLst>
            <a:lin ang="2700000" scaled="1"/>
            <a:tileRect/>
          </a:gradFill>
          <a:ln>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circle"/>
          <c:size val="7"/>
          <c:spPr>
            <a:solidFill>
              <a:schemeClr val="bg1"/>
            </a:solidFill>
            <a:ln w="25400">
              <a:solidFill>
                <a:srgbClr val="0070C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 Tables'!$C$23</c:f>
              <c:strCache>
                <c:ptCount val="1"/>
                <c:pt idx="0">
                  <c:v>Call Count2</c:v>
                </c:pt>
              </c:strCache>
            </c:strRef>
          </c:tx>
          <c:spPr>
            <a:gradFill flip="none" rotWithShape="1">
              <a:gsLst>
                <a:gs pos="0">
                  <a:schemeClr val="accent6">
                    <a:alpha val="50000"/>
                  </a:schemeClr>
                </a:gs>
                <a:gs pos="100000">
                  <a:schemeClr val="accent5">
                    <a:lumMod val="100000"/>
                  </a:schemeClr>
                </a:gs>
              </a:gsLst>
              <a:lin ang="2700000" scaled="1"/>
              <a:tileRect/>
            </a:gradFill>
            <a:ln>
              <a:solidFill>
                <a:schemeClr val="accent6"/>
              </a:solidFill>
            </a:ln>
            <a:effectLst/>
          </c:spPr>
          <c:cat>
            <c:strRef>
              <c:f>'Pivot Tables'!$A$24:$A$36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Tables'!$C$24:$C$36</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extLst>
            <c:ext xmlns:c16="http://schemas.microsoft.com/office/drawing/2014/chart" uri="{C3380CC4-5D6E-409C-BE32-E72D297353CC}">
              <c16:uniqueId val="{00000000-7710-4FAA-A224-EB80CC4E3644}"/>
            </c:ext>
          </c:extLst>
        </c:ser>
        <c:dLbls>
          <c:showLegendKey val="0"/>
          <c:showVal val="0"/>
          <c:showCatName val="0"/>
          <c:showSerName val="0"/>
          <c:showPercent val="0"/>
          <c:showBubbleSize val="0"/>
        </c:dLbls>
        <c:axId val="1483955343"/>
        <c:axId val="1483954383"/>
      </c:areaChart>
      <c:lineChart>
        <c:grouping val="standard"/>
        <c:varyColors val="0"/>
        <c:ser>
          <c:idx val="0"/>
          <c:order val="0"/>
          <c:tx>
            <c:strRef>
              <c:f>'Pivot Tables'!$B$23</c:f>
              <c:strCache>
                <c:ptCount val="1"/>
                <c:pt idx="0">
                  <c:v>Call Count</c:v>
                </c:pt>
              </c:strCache>
            </c:strRef>
          </c:tx>
          <c:spPr>
            <a:ln w="28575" cap="rnd">
              <a:solidFill>
                <a:schemeClr val="accent6"/>
              </a:solidFill>
              <a:round/>
            </a:ln>
            <a:effectLst/>
          </c:spPr>
          <c:marker>
            <c:symbol val="circle"/>
            <c:size val="7"/>
            <c:spPr>
              <a:solidFill>
                <a:schemeClr val="bg1"/>
              </a:solidFill>
              <a:ln w="25400">
                <a:solidFill>
                  <a:srgbClr val="0070C0"/>
                </a:solidFill>
              </a:ln>
              <a:effectLst/>
            </c:spPr>
          </c:marker>
          <c:cat>
            <c:strRef>
              <c:f>'Pivot Tables'!$A$24:$A$36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Tables'!$B$24:$B$36</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smooth val="0"/>
          <c:extLst>
            <c:ext xmlns:c16="http://schemas.microsoft.com/office/drawing/2014/chart" uri="{C3380CC4-5D6E-409C-BE32-E72D297353CC}">
              <c16:uniqueId val="{00000001-7710-4FAA-A224-EB80CC4E3644}"/>
            </c:ext>
          </c:extLst>
        </c:ser>
        <c:dLbls>
          <c:showLegendKey val="0"/>
          <c:showVal val="0"/>
          <c:showCatName val="0"/>
          <c:showSerName val="0"/>
          <c:showPercent val="0"/>
          <c:showBubbleSize val="0"/>
        </c:dLbls>
        <c:marker val="1"/>
        <c:smooth val="0"/>
        <c:axId val="1483955343"/>
        <c:axId val="1483954383"/>
      </c:lineChart>
      <c:catAx>
        <c:axId val="148395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954383"/>
        <c:crosses val="autoZero"/>
        <c:auto val="1"/>
        <c:lblAlgn val="ctr"/>
        <c:lblOffset val="100"/>
        <c:noMultiLvlLbl val="0"/>
      </c:catAx>
      <c:valAx>
        <c:axId val="14839543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955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[Dateset for Customer Care Call logs.xlsx]Pivot Tables!daily trend</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Tables'!$J$26</c:f>
              <c:strCache>
                <c:ptCount val="1"/>
                <c:pt idx="0">
                  <c:v>Total</c:v>
                </c:pt>
              </c:strCache>
            </c:strRef>
          </c:tx>
          <c:spPr>
            <a:solidFill>
              <a:schemeClr val="accent5"/>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Tables'!$I$27:$I$34</c:f>
              <c:strCache>
                <c:ptCount val="7"/>
                <c:pt idx="0">
                  <c:v>Monday</c:v>
                </c:pt>
                <c:pt idx="1">
                  <c:v>Tuesday</c:v>
                </c:pt>
                <c:pt idx="2">
                  <c:v>Wednesday</c:v>
                </c:pt>
                <c:pt idx="3">
                  <c:v>Thursday</c:v>
                </c:pt>
                <c:pt idx="4">
                  <c:v>Friday</c:v>
                </c:pt>
                <c:pt idx="5">
                  <c:v>Saturday</c:v>
                </c:pt>
                <c:pt idx="6">
                  <c:v>Sunday</c:v>
                </c:pt>
              </c:strCache>
            </c:strRef>
          </c:cat>
          <c:val>
            <c:numRef>
              <c:f>'Pivot Tables'!$J$27:$J$34</c:f>
              <c:numCache>
                <c:formatCode>#,##0</c:formatCode>
                <c:ptCount val="7"/>
                <c:pt idx="0">
                  <c:v>24</c:v>
                </c:pt>
                <c:pt idx="1">
                  <c:v>44</c:v>
                </c:pt>
                <c:pt idx="2">
                  <c:v>36</c:v>
                </c:pt>
                <c:pt idx="3">
                  <c:v>33</c:v>
                </c:pt>
                <c:pt idx="4">
                  <c:v>29</c:v>
                </c:pt>
                <c:pt idx="5">
                  <c:v>24</c:v>
                </c:pt>
                <c:pt idx="6">
                  <c:v>28</c:v>
                </c:pt>
              </c:numCache>
            </c:numRef>
          </c:val>
          <c:extLst>
            <c:ext xmlns:c16="http://schemas.microsoft.com/office/drawing/2014/chart" uri="{C3380CC4-5D6E-409C-BE32-E72D297353CC}">
              <c16:uniqueId val="{00000000-D425-418D-9663-5A42AA9BB5DF}"/>
            </c:ext>
          </c:extLst>
        </c:ser>
        <c:dLbls>
          <c:showLegendKey val="0"/>
          <c:showVal val="0"/>
          <c:showCatName val="0"/>
          <c:showSerName val="0"/>
          <c:showPercent val="0"/>
          <c:showBubbleSize val="0"/>
        </c:dLbls>
        <c:gapWidth val="45"/>
        <c:axId val="1496442895"/>
        <c:axId val="1496443855"/>
      </c:barChart>
      <c:catAx>
        <c:axId val="14964428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443855"/>
        <c:crosses val="autoZero"/>
        <c:auto val="1"/>
        <c:lblAlgn val="ctr"/>
        <c:lblOffset val="100"/>
        <c:noMultiLvlLbl val="0"/>
      </c:catAx>
      <c:valAx>
        <c:axId val="1496443855"/>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442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GB" sz="1400" b="0" i="0" u="none" strike="noStrike" kern="1200" spc="0" baseline="0">
                <a:solidFill>
                  <a:schemeClr val="accent6"/>
                </a:solidFill>
                <a:latin typeface="+mn-lt"/>
                <a:ea typeface="+mn-ea"/>
                <a:cs typeface="+mn-cs"/>
              </a:defRPr>
            </a:pPr>
            <a:r>
              <a:rPr lang="en-GB" sz="1400" b="0" i="0" u="none" strike="noStrike" kern="1200" spc="0" baseline="0">
                <a:solidFill>
                  <a:schemeClr val="accent6"/>
                </a:solidFill>
                <a:latin typeface="+mn-lt"/>
                <a:ea typeface="+mn-ea"/>
                <a:cs typeface="+mn-cs"/>
              </a:rPr>
              <a:t>Calls</a:t>
            </a:r>
          </a:p>
        </c:rich>
      </c:tx>
      <c:layout>
        <c:manualLayout>
          <c:xMode val="edge"/>
          <c:yMode val="edge"/>
          <c:x val="6.89203354297694E-2"/>
          <c:y val="6.5359477124183009E-3"/>
        </c:manualLayout>
      </c:layout>
      <c:overlay val="0"/>
      <c:spPr>
        <a:noFill/>
        <a:ln>
          <a:noFill/>
        </a:ln>
        <a:effectLst/>
      </c:spPr>
      <c:txPr>
        <a:bodyPr rot="0" spcFirstLastPara="1" vertOverflow="ellipsis" vert="horz" wrap="square" anchor="ctr" anchorCtr="1"/>
        <a:lstStyle/>
        <a:p>
          <a:pPr algn="ctr" rtl="0">
            <a:defRPr lang="en-GB" sz="1400" b="0" i="0" u="none" strike="noStrike" kern="1200" spc="0" baseline="0">
              <a:solidFill>
                <a:schemeClr val="accent6"/>
              </a:solidFill>
              <a:latin typeface="+mn-lt"/>
              <a:ea typeface="+mn-ea"/>
              <a:cs typeface="+mn-cs"/>
            </a:defRPr>
          </a:pPr>
          <a:endParaRPr lang="en-US"/>
        </a:p>
      </c:txPr>
    </c:title>
    <c:autoTitleDeleted val="0"/>
    <c:plotArea>
      <c:layout>
        <c:manualLayout>
          <c:layoutTarget val="inner"/>
          <c:xMode val="edge"/>
          <c:yMode val="edge"/>
          <c:x val="0.13492430418674731"/>
          <c:y val="5.0925925925925923E-2"/>
          <c:w val="0.82138849616275034"/>
          <c:h val="0.89814814814814814"/>
        </c:manualLayout>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Tables'!$F$47:$F$51</c:f>
              <c:strCache>
                <c:ptCount val="5"/>
                <c:pt idx="0">
                  <c:v>R01</c:v>
                </c:pt>
                <c:pt idx="1">
                  <c:v>R02</c:v>
                </c:pt>
                <c:pt idx="2">
                  <c:v>R03</c:v>
                </c:pt>
                <c:pt idx="3">
                  <c:v>R04</c:v>
                </c:pt>
                <c:pt idx="4">
                  <c:v>R05</c:v>
                </c:pt>
              </c:strCache>
            </c:strRef>
          </c:cat>
          <c:val>
            <c:numRef>
              <c:f>'Pivot Tables'!$G$47:$G$51</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7DFF-4DE5-B310-B1F8B53619B9}"/>
            </c:ext>
          </c:extLst>
        </c:ser>
        <c:ser>
          <c:idx val="1"/>
          <c:order val="1"/>
          <c:tx>
            <c:strRef>
              <c:f>'Pivot Tables'!$I$46</c:f>
              <c:strCache>
                <c:ptCount val="1"/>
                <c:pt idx="0">
                  <c:v>Sel Calls</c:v>
                </c:pt>
              </c:strCache>
            </c:strRef>
          </c:tx>
          <c:spPr>
            <a:gradFill flip="none" rotWithShape="1">
              <a:gsLst>
                <a:gs pos="0">
                  <a:schemeClr val="accent6"/>
                </a:gs>
                <a:gs pos="100000">
                  <a:schemeClr val="accent5">
                    <a:lumMod val="100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 Tables'!$I$47:$I$51</c:f>
              <c:numCache>
                <c:formatCode>General</c:formatCode>
                <c:ptCount val="5"/>
                <c:pt idx="0">
                  <c:v>#N/A</c:v>
                </c:pt>
                <c:pt idx="1">
                  <c:v>218</c:v>
                </c:pt>
                <c:pt idx="2">
                  <c:v>#N/A</c:v>
                </c:pt>
                <c:pt idx="3">
                  <c:v>#N/A</c:v>
                </c:pt>
                <c:pt idx="4">
                  <c:v>#N/A</c:v>
                </c:pt>
              </c:numCache>
            </c:numRef>
          </c:val>
          <c:extLst>
            <c:ext xmlns:c16="http://schemas.microsoft.com/office/drawing/2014/chart" uri="{C3380CC4-5D6E-409C-BE32-E72D297353CC}">
              <c16:uniqueId val="{00000001-7DFF-4DE5-B310-B1F8B53619B9}"/>
            </c:ext>
          </c:extLst>
        </c:ser>
        <c:dLbls>
          <c:dLblPos val="outEnd"/>
          <c:showLegendKey val="0"/>
          <c:showVal val="1"/>
          <c:showCatName val="0"/>
          <c:showSerName val="0"/>
          <c:showPercent val="0"/>
          <c:showBubbleSize val="0"/>
        </c:dLbls>
        <c:gapWidth val="25"/>
        <c:overlap val="100"/>
        <c:axId val="1482225743"/>
        <c:axId val="1482226223"/>
      </c:barChart>
      <c:catAx>
        <c:axId val="148222574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226223"/>
        <c:crosses val="autoZero"/>
        <c:auto val="1"/>
        <c:lblAlgn val="ctr"/>
        <c:lblOffset val="100"/>
        <c:noMultiLvlLbl val="0"/>
      </c:catAx>
      <c:valAx>
        <c:axId val="1482226223"/>
        <c:scaling>
          <c:orientation val="minMax"/>
          <c:min val="0"/>
        </c:scaling>
        <c:delete val="1"/>
        <c:axPos val="t"/>
        <c:numFmt formatCode="General" sourceLinked="1"/>
        <c:majorTickMark val="none"/>
        <c:minorTickMark val="none"/>
        <c:tickLblPos val="nextTo"/>
        <c:crossAx val="1482225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GB" sz="1400" b="0" i="0" u="none" strike="noStrike" kern="1200" spc="0" baseline="0">
                <a:solidFill>
                  <a:schemeClr val="accent6"/>
                </a:solidFill>
                <a:latin typeface="+mn-lt"/>
                <a:ea typeface="+mn-ea"/>
                <a:cs typeface="+mn-cs"/>
              </a:defRPr>
            </a:pPr>
            <a:r>
              <a:rPr lang="en-GB" sz="1400" b="0" i="0" u="none" strike="noStrike" kern="1200" spc="0" baseline="0">
                <a:solidFill>
                  <a:schemeClr val="accent6"/>
                </a:solidFill>
                <a:latin typeface="+mn-lt"/>
                <a:ea typeface="+mn-ea"/>
                <a:cs typeface="+mn-cs"/>
              </a:rPr>
              <a:t>Amount</a:t>
            </a:r>
          </a:p>
        </c:rich>
      </c:tx>
      <c:layout>
        <c:manualLayout>
          <c:xMode val="edge"/>
          <c:yMode val="edge"/>
          <c:x val="3.2326444091149965E-2"/>
          <c:y val="0"/>
        </c:manualLayout>
      </c:layout>
      <c:overlay val="0"/>
      <c:spPr>
        <a:noFill/>
        <a:ln>
          <a:noFill/>
        </a:ln>
        <a:effectLst/>
      </c:spPr>
      <c:txPr>
        <a:bodyPr rot="0" spcFirstLastPara="1" vertOverflow="ellipsis" vert="horz" wrap="square" anchor="ctr" anchorCtr="1"/>
        <a:lstStyle/>
        <a:p>
          <a:pPr algn="ctr" rtl="0">
            <a:defRPr lang="en-GB" sz="1400" b="0" i="0" u="none" strike="noStrike" kern="1200" spc="0" baseline="0">
              <a:solidFill>
                <a:schemeClr val="accent6"/>
              </a:solidFill>
              <a:latin typeface="+mn-lt"/>
              <a:ea typeface="+mn-ea"/>
              <a:cs typeface="+mn-cs"/>
            </a:defRPr>
          </a:pPr>
          <a:endParaRPr lang="en-US"/>
        </a:p>
      </c:txPr>
    </c:title>
    <c:autoTitleDeleted val="0"/>
    <c:plotArea>
      <c:layout>
        <c:manualLayout>
          <c:layoutTarget val="inner"/>
          <c:xMode val="edge"/>
          <c:yMode val="edge"/>
          <c:x val="5.8293587705352409E-2"/>
          <c:y val="4.3030900723208414E-2"/>
          <c:w val="0.88341282458929515"/>
          <c:h val="0.91094674556213029"/>
        </c:manualLayout>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Tables'!$F$47:$F$51</c:f>
              <c:strCache>
                <c:ptCount val="5"/>
                <c:pt idx="0">
                  <c:v>R01</c:v>
                </c:pt>
                <c:pt idx="1">
                  <c:v>R02</c:v>
                </c:pt>
                <c:pt idx="2">
                  <c:v>R03</c:v>
                </c:pt>
                <c:pt idx="3">
                  <c:v>R04</c:v>
                </c:pt>
                <c:pt idx="4">
                  <c:v>R05</c:v>
                </c:pt>
              </c:strCache>
            </c:strRef>
          </c:cat>
          <c:val>
            <c:numRef>
              <c:f>'Pivot Tables'!$H$47:$H$51</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FC32-49F1-BC72-77D73A4B64E9}"/>
            </c:ext>
          </c:extLst>
        </c:ser>
        <c:ser>
          <c:idx val="1"/>
          <c:order val="1"/>
          <c:tx>
            <c:strRef>
              <c:f>'Pivot Tables'!$J$46</c:f>
              <c:strCache>
                <c:ptCount val="1"/>
                <c:pt idx="0">
                  <c:v>Sel Amount</c:v>
                </c:pt>
              </c:strCache>
            </c:strRef>
          </c:tx>
          <c:spPr>
            <a:solidFill>
              <a:schemeClr val="accent2"/>
            </a:solidFill>
            <a:ln>
              <a:noFill/>
            </a:ln>
            <a:effectLst/>
          </c:spPr>
          <c:invertIfNegative val="0"/>
          <c:dPt>
            <c:idx val="1"/>
            <c:invertIfNegative val="0"/>
            <c:bubble3D val="0"/>
            <c:spPr>
              <a:gradFill flip="none" rotWithShape="1">
                <a:gsLst>
                  <a:gs pos="0">
                    <a:schemeClr val="accent6">
                      <a:lumMod val="20000"/>
                      <a:lumOff val="80000"/>
                    </a:schemeClr>
                  </a:gs>
                  <a:gs pos="100000">
                    <a:schemeClr val="accent5">
                      <a:lumMod val="100000"/>
                    </a:schemeClr>
                  </a:gs>
                </a:gsLst>
                <a:lin ang="10800000" scaled="1"/>
                <a:tileRect/>
              </a:gradFill>
              <a:ln>
                <a:noFill/>
              </a:ln>
              <a:effectLst/>
            </c:spPr>
            <c:extLst>
              <c:ext xmlns:c16="http://schemas.microsoft.com/office/drawing/2014/chart" uri="{C3380CC4-5D6E-409C-BE32-E72D297353CC}">
                <c16:uniqueId val="{00000002-FC32-49F1-BC72-77D73A4B64E9}"/>
              </c:ext>
            </c:extLst>
          </c:dPt>
          <c:dLbls>
            <c:delete val="1"/>
          </c:dLbls>
          <c:val>
            <c:numRef>
              <c:f>'Pivot Tables'!$J$47:$J$51</c:f>
              <c:numCache>
                <c:formatCode>General</c:formatCode>
                <c:ptCount val="5"/>
                <c:pt idx="0">
                  <c:v>#N/A</c:v>
                </c:pt>
                <c:pt idx="1">
                  <c:v>20581</c:v>
                </c:pt>
                <c:pt idx="2">
                  <c:v>#N/A</c:v>
                </c:pt>
                <c:pt idx="3">
                  <c:v>#N/A</c:v>
                </c:pt>
                <c:pt idx="4">
                  <c:v>#N/A</c:v>
                </c:pt>
              </c:numCache>
            </c:numRef>
          </c:val>
          <c:extLst>
            <c:ext xmlns:c16="http://schemas.microsoft.com/office/drawing/2014/chart" uri="{C3380CC4-5D6E-409C-BE32-E72D297353CC}">
              <c16:uniqueId val="{00000003-FC32-49F1-BC72-77D73A4B64E9}"/>
            </c:ext>
          </c:extLst>
        </c:ser>
        <c:dLbls>
          <c:dLblPos val="outEnd"/>
          <c:showLegendKey val="0"/>
          <c:showVal val="1"/>
          <c:showCatName val="0"/>
          <c:showSerName val="0"/>
          <c:showPercent val="0"/>
          <c:showBubbleSize val="0"/>
        </c:dLbls>
        <c:gapWidth val="25"/>
        <c:overlap val="100"/>
        <c:axId val="1480037903"/>
        <c:axId val="1480039823"/>
      </c:barChart>
      <c:catAx>
        <c:axId val="1480037903"/>
        <c:scaling>
          <c:orientation val="maxMin"/>
        </c:scaling>
        <c:delete val="1"/>
        <c:axPos val="l"/>
        <c:numFmt formatCode="General" sourceLinked="1"/>
        <c:majorTickMark val="none"/>
        <c:minorTickMark val="none"/>
        <c:tickLblPos val="nextTo"/>
        <c:crossAx val="1480039823"/>
        <c:crosses val="autoZero"/>
        <c:auto val="1"/>
        <c:lblAlgn val="ctr"/>
        <c:lblOffset val="100"/>
        <c:noMultiLvlLbl val="0"/>
      </c:catAx>
      <c:valAx>
        <c:axId val="1480039823"/>
        <c:scaling>
          <c:orientation val="minMax"/>
        </c:scaling>
        <c:delete val="1"/>
        <c:axPos val="t"/>
        <c:numFmt formatCode="&quot;£&quot;#,###.0,.&quot;k&quot;" sourceLinked="1"/>
        <c:majorTickMark val="none"/>
        <c:minorTickMark val="none"/>
        <c:tickLblPos val="nextTo"/>
        <c:crossAx val="1480037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[Dateset for Customer Care Call logs.xlsx]Pivot Tables!gender pivot table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5"/>
                </a:solidFill>
              </a:rPr>
              <a:t>Female</a:t>
            </a:r>
            <a:r>
              <a:rPr lang="en-US"/>
              <a:t> Vs </a:t>
            </a:r>
            <a:r>
              <a:rPr lang="en-US">
                <a:solidFill>
                  <a:schemeClr val="accent3"/>
                </a:solidFill>
              </a:rPr>
              <a:t>Male</a:t>
            </a:r>
            <a:r>
              <a:rPr lang="en-US"/>
              <a:t> Callers</a:t>
            </a:r>
          </a:p>
        </c:rich>
      </c:tx>
      <c:layout>
        <c:manualLayout>
          <c:xMode val="edge"/>
          <c:yMode val="edge"/>
          <c:x val="6.7786069651741263E-2"/>
          <c:y val="3.53535353535353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Tables'!$B$62:$B$63</c:f>
              <c:strCache>
                <c:ptCount val="1"/>
                <c:pt idx="0">
                  <c:v>Female</c:v>
                </c:pt>
              </c:strCache>
            </c:strRef>
          </c:tx>
          <c:spPr>
            <a:solidFill>
              <a:schemeClr val="accent5"/>
            </a:solidFill>
            <a:ln>
              <a:noFill/>
            </a:ln>
            <a:effectLst/>
          </c:spPr>
          <c:invertIfNegative val="0"/>
          <c:dLbls>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Tables'!$A$64:$A$67</c:f>
              <c:strCache>
                <c:ptCount val="3"/>
                <c:pt idx="0">
                  <c:v>Cincinnati</c:v>
                </c:pt>
                <c:pt idx="1">
                  <c:v>Cleveland</c:v>
                </c:pt>
                <c:pt idx="2">
                  <c:v>Columbus</c:v>
                </c:pt>
              </c:strCache>
            </c:strRef>
          </c:cat>
          <c:val>
            <c:numRef>
              <c:f>'Pivot Tables'!$B$64:$B$67</c:f>
              <c:numCache>
                <c:formatCode>#,##0</c:formatCode>
                <c:ptCount val="3"/>
                <c:pt idx="0">
                  <c:v>144</c:v>
                </c:pt>
                <c:pt idx="1">
                  <c:v>326</c:v>
                </c:pt>
                <c:pt idx="2">
                  <c:v>129</c:v>
                </c:pt>
              </c:numCache>
            </c:numRef>
          </c:val>
          <c:extLst>
            <c:ext xmlns:c16="http://schemas.microsoft.com/office/drawing/2014/chart" uri="{C3380CC4-5D6E-409C-BE32-E72D297353CC}">
              <c16:uniqueId val="{00000000-2707-4A02-A490-72E836AAF6D2}"/>
            </c:ext>
          </c:extLst>
        </c:ser>
        <c:ser>
          <c:idx val="1"/>
          <c:order val="1"/>
          <c:tx>
            <c:strRef>
              <c:f>'Pivot Tables'!$C$62:$C$63</c:f>
              <c:strCache>
                <c:ptCount val="1"/>
                <c:pt idx="0">
                  <c:v>Male</c:v>
                </c:pt>
              </c:strCache>
            </c:strRef>
          </c:tx>
          <c:spPr>
            <a:solidFill>
              <a:schemeClr val="accent3"/>
            </a:solidFill>
            <a:ln>
              <a:noFill/>
            </a:ln>
            <a:effectLst/>
          </c:spPr>
          <c:invertIfNegative val="0"/>
          <c:dLbls>
            <c:spPr>
              <a:solidFill>
                <a:schemeClr val="bg1">
                  <a:alpha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Tables'!$A$64:$A$67</c:f>
              <c:strCache>
                <c:ptCount val="3"/>
                <c:pt idx="0">
                  <c:v>Cincinnati</c:v>
                </c:pt>
                <c:pt idx="1">
                  <c:v>Cleveland</c:v>
                </c:pt>
                <c:pt idx="2">
                  <c:v>Columbus</c:v>
                </c:pt>
              </c:strCache>
            </c:strRef>
          </c:cat>
          <c:val>
            <c:numRef>
              <c:f>'Pivot Tables'!$C$64:$C$67</c:f>
              <c:numCache>
                <c:formatCode>#,##0</c:formatCode>
                <c:ptCount val="3"/>
                <c:pt idx="0">
                  <c:v>132</c:v>
                </c:pt>
                <c:pt idx="1">
                  <c:v>63</c:v>
                </c:pt>
                <c:pt idx="2">
                  <c:v>206</c:v>
                </c:pt>
              </c:numCache>
            </c:numRef>
          </c:val>
          <c:extLst>
            <c:ext xmlns:c16="http://schemas.microsoft.com/office/drawing/2014/chart" uri="{C3380CC4-5D6E-409C-BE32-E72D297353CC}">
              <c16:uniqueId val="{00000001-2707-4A02-A490-72E836AAF6D2}"/>
            </c:ext>
          </c:extLst>
        </c:ser>
        <c:dLbls>
          <c:dLblPos val="ctr"/>
          <c:showLegendKey val="0"/>
          <c:showVal val="1"/>
          <c:showCatName val="0"/>
          <c:showSerName val="0"/>
          <c:showPercent val="0"/>
          <c:showBubbleSize val="0"/>
        </c:dLbls>
        <c:gapWidth val="25"/>
        <c:overlap val="100"/>
        <c:axId val="1598144095"/>
        <c:axId val="1598146495"/>
      </c:barChart>
      <c:catAx>
        <c:axId val="15981440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146495"/>
        <c:crosses val="autoZero"/>
        <c:auto val="1"/>
        <c:lblAlgn val="ctr"/>
        <c:lblOffset val="100"/>
        <c:noMultiLvlLbl val="0"/>
      </c:catAx>
      <c:valAx>
        <c:axId val="1598146495"/>
        <c:scaling>
          <c:orientation val="minMax"/>
        </c:scaling>
        <c:delete val="1"/>
        <c:axPos val="l"/>
        <c:numFmt formatCode="0%" sourceLinked="1"/>
        <c:majorTickMark val="none"/>
        <c:minorTickMark val="none"/>
        <c:tickLblPos val="nextTo"/>
        <c:crossAx val="1598144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[Dateset for Customer Care Call logs.xlsx]Pivot Tables!Rep Satisfaction</c:name>
    <c:fmtId val="12"/>
  </c:pivotSource>
  <c:chart>
    <c:title>
      <c:tx>
        <c:rich>
          <a:bodyPr rot="0" spcFirstLastPara="1" vertOverflow="ellipsis" vert="horz" wrap="square" anchor="ctr" anchorCtr="1"/>
          <a:lstStyle/>
          <a:p>
            <a:pPr>
              <a:defRPr lang="en-GB" sz="1400" b="0" i="0" u="none" strike="noStrike" kern="1200" spc="0" baseline="0">
                <a:solidFill>
                  <a:schemeClr val="accent1"/>
                </a:solidFill>
                <a:latin typeface="+mn-lt"/>
                <a:ea typeface="+mn-ea"/>
                <a:cs typeface="+mn-cs"/>
              </a:defRPr>
            </a:pPr>
            <a:r>
              <a:rPr lang="en-GB" sz="1400" b="0" i="0" u="none" strike="noStrike" kern="1200" spc="0" baseline="0">
                <a:solidFill>
                  <a:schemeClr val="accent1"/>
                </a:solidFill>
                <a:latin typeface="+mn-lt"/>
                <a:ea typeface="+mn-ea"/>
                <a:cs typeface="+mn-cs"/>
              </a:rPr>
              <a:t>Rating</a:t>
            </a:r>
          </a:p>
        </c:rich>
      </c:tx>
      <c:layout>
        <c:manualLayout>
          <c:xMode val="edge"/>
          <c:yMode val="edge"/>
          <c:x val="7.2557309646638993E-2"/>
          <c:y val="2.5176233635448138E-2"/>
        </c:manualLayout>
      </c:layout>
      <c:overlay val="0"/>
      <c:spPr>
        <a:noFill/>
        <a:ln>
          <a:noFill/>
        </a:ln>
        <a:effectLst/>
      </c:spPr>
      <c:txPr>
        <a:bodyPr rot="0" spcFirstLastPara="1" vertOverflow="ellipsis" vert="horz" wrap="square" anchor="ctr" anchorCtr="1"/>
        <a:lstStyle/>
        <a:p>
          <a:pPr>
            <a:defRPr lang="en-GB" sz="14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Tables'!$B$72</c:f>
              <c:strCache>
                <c:ptCount val="1"/>
                <c:pt idx="0">
                  <c:v>Total</c:v>
                </c:pt>
              </c:strCache>
            </c:strRef>
          </c:tx>
          <c:spPr>
            <a:solidFill>
              <a:schemeClr val="accent1"/>
            </a:solidFill>
            <a:ln>
              <a:noFill/>
            </a:ln>
            <a:effectLst/>
          </c:spPr>
          <c:invertIfNegative val="0"/>
          <c:cat>
            <c:strRef>
              <c:f>'Pivot Tables'!$A$73:$A$78</c:f>
              <c:strCache>
                <c:ptCount val="5"/>
                <c:pt idx="0">
                  <c:v>1</c:v>
                </c:pt>
                <c:pt idx="1">
                  <c:v>2</c:v>
                </c:pt>
                <c:pt idx="2">
                  <c:v>3</c:v>
                </c:pt>
                <c:pt idx="3">
                  <c:v>4</c:v>
                </c:pt>
                <c:pt idx="4">
                  <c:v>5</c:v>
                </c:pt>
              </c:strCache>
            </c:strRef>
          </c:cat>
          <c:val>
            <c:numRef>
              <c:f>'Pivot Tables'!$B$73:$B$78</c:f>
              <c:numCache>
                <c:formatCode>#,##0</c:formatCode>
                <c:ptCount val="5"/>
                <c:pt idx="0">
                  <c:v>3</c:v>
                </c:pt>
                <c:pt idx="1">
                  <c:v>19</c:v>
                </c:pt>
                <c:pt idx="2">
                  <c:v>35</c:v>
                </c:pt>
                <c:pt idx="3">
                  <c:v>87</c:v>
                </c:pt>
                <c:pt idx="4">
                  <c:v>74</c:v>
                </c:pt>
              </c:numCache>
            </c:numRef>
          </c:val>
          <c:extLst>
            <c:ext xmlns:c16="http://schemas.microsoft.com/office/drawing/2014/chart" uri="{C3380CC4-5D6E-409C-BE32-E72D297353CC}">
              <c16:uniqueId val="{00000000-0311-426E-A57A-6BEEED670650}"/>
            </c:ext>
          </c:extLst>
        </c:ser>
        <c:dLbls>
          <c:showLegendKey val="0"/>
          <c:showVal val="0"/>
          <c:showCatName val="0"/>
          <c:showSerName val="0"/>
          <c:showPercent val="0"/>
          <c:showBubbleSize val="0"/>
        </c:dLbls>
        <c:gapWidth val="10"/>
        <c:overlap val="-27"/>
        <c:axId val="1761783680"/>
        <c:axId val="1761792800"/>
      </c:barChart>
      <c:catAx>
        <c:axId val="176178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792800"/>
        <c:crosses val="autoZero"/>
        <c:auto val="1"/>
        <c:lblAlgn val="ctr"/>
        <c:lblOffset val="100"/>
        <c:noMultiLvlLbl val="0"/>
      </c:catAx>
      <c:valAx>
        <c:axId val="17617928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78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6">
          <a:alpha val="91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20.svg"/><Relationship Id="rId13" Type="http://schemas.openxmlformats.org/officeDocument/2006/relationships/chart" Target="../charts/chart3.xml"/><Relationship Id="rId3" Type="http://schemas.openxmlformats.org/officeDocument/2006/relationships/image" Target="../media/image15.png"/><Relationship Id="rId7" Type="http://schemas.openxmlformats.org/officeDocument/2006/relationships/image" Target="../media/image19.png"/><Relationship Id="rId12" Type="http://schemas.openxmlformats.org/officeDocument/2006/relationships/chart" Target="../charts/chart2.xml"/><Relationship Id="rId2" Type="http://schemas.openxmlformats.org/officeDocument/2006/relationships/image" Target="../media/image14.svg"/><Relationship Id="rId16" Type="http://schemas.openxmlformats.org/officeDocument/2006/relationships/chart" Target="../charts/chart6.xml"/><Relationship Id="rId1" Type="http://schemas.openxmlformats.org/officeDocument/2006/relationships/image" Target="../media/image13.png"/><Relationship Id="rId6" Type="http://schemas.openxmlformats.org/officeDocument/2006/relationships/image" Target="../media/image18.svg"/><Relationship Id="rId11" Type="http://schemas.openxmlformats.org/officeDocument/2006/relationships/chart" Target="../charts/chart1.xml"/><Relationship Id="rId5" Type="http://schemas.openxmlformats.org/officeDocument/2006/relationships/image" Target="../media/image17.png"/><Relationship Id="rId15" Type="http://schemas.openxmlformats.org/officeDocument/2006/relationships/chart" Target="../charts/chart5.xml"/><Relationship Id="rId10" Type="http://schemas.openxmlformats.org/officeDocument/2006/relationships/image" Target="../media/image22.svg"/><Relationship Id="rId4" Type="http://schemas.openxmlformats.org/officeDocument/2006/relationships/image" Target="../media/image16.svg"/><Relationship Id="rId9" Type="http://schemas.openxmlformats.org/officeDocument/2006/relationships/image" Target="../media/image21.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83820</xdr:colOff>
      <xdr:row>3</xdr:row>
      <xdr:rowOff>83820</xdr:rowOff>
    </xdr:from>
    <xdr:to>
      <xdr:col>3</xdr:col>
      <xdr:colOff>617220</xdr:colOff>
      <xdr:row>8</xdr:row>
      <xdr:rowOff>160020</xdr:rowOff>
    </xdr:to>
    <xdr:sp macro="" textlink="'Pivot Tables'!A4">
      <xdr:nvSpPr>
        <xdr:cNvPr id="4" name="Rectangle 3">
          <a:extLst>
            <a:ext uri="{FF2B5EF4-FFF2-40B4-BE49-F238E27FC236}">
              <a16:creationId xmlns:a16="http://schemas.microsoft.com/office/drawing/2014/main" id="{F26130E0-1526-21E5-F26C-EFDF326B0A83}"/>
            </a:ext>
          </a:extLst>
        </xdr:cNvPr>
        <xdr:cNvSpPr/>
      </xdr:nvSpPr>
      <xdr:spPr>
        <a:xfrm>
          <a:off x="388620" y="632460"/>
          <a:ext cx="1203960" cy="990600"/>
        </a:xfrm>
        <a:prstGeom prst="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821AC02-06CC-4BD6-8332-4BA7BC1DFF31}" type="TxLink">
            <a:rPr lang="en-US" sz="2000" b="1" i="0" u="none" strike="noStrike">
              <a:solidFill>
                <a:schemeClr val="bg1"/>
              </a:solidFill>
              <a:effectLst>
                <a:outerShdw blurRad="254000" dist="127000" dir="2700000" algn="ctr" rotWithShape="0">
                  <a:srgbClr val="000000">
                    <a:alpha val="40000"/>
                  </a:srgbClr>
                </a:outerShdw>
              </a:effectLst>
              <a:latin typeface="Aptos"/>
            </a:rPr>
            <a:pPr algn="ctr"/>
            <a:t>1,000</a:t>
          </a:fld>
          <a:endParaRPr lang="en-GB" sz="2000" b="1">
            <a:solidFill>
              <a:schemeClr val="bg1"/>
            </a:solidFill>
            <a:effectLst>
              <a:outerShdw blurRad="254000" dist="127000" dir="2700000" algn="ctr" rotWithShape="0">
                <a:srgbClr val="000000">
                  <a:alpha val="40000"/>
                </a:srgbClr>
              </a:outerShdw>
            </a:effectLst>
          </a:endParaRPr>
        </a:p>
      </xdr:txBody>
    </xdr:sp>
    <xdr:clientData/>
  </xdr:twoCellAnchor>
  <xdr:oneCellAnchor>
    <xdr:from>
      <xdr:col>2</xdr:col>
      <xdr:colOff>281940</xdr:colOff>
      <xdr:row>3</xdr:row>
      <xdr:rowOff>152400</xdr:rowOff>
    </xdr:from>
    <xdr:ext cx="784860" cy="312420"/>
    <xdr:sp macro="" textlink="">
      <xdr:nvSpPr>
        <xdr:cNvPr id="5" name="TextBox 4">
          <a:extLst>
            <a:ext uri="{FF2B5EF4-FFF2-40B4-BE49-F238E27FC236}">
              <a16:creationId xmlns:a16="http://schemas.microsoft.com/office/drawing/2014/main" id="{17022074-A44C-470C-A7AE-105C33B6C55F}"/>
            </a:ext>
          </a:extLst>
        </xdr:cNvPr>
        <xdr:cNvSpPr txBox="1"/>
      </xdr:nvSpPr>
      <xdr:spPr>
        <a:xfrm>
          <a:off x="586740" y="701040"/>
          <a:ext cx="784860" cy="3124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GB" sz="1400" b="1">
              <a:solidFill>
                <a:schemeClr val="bg1"/>
              </a:solidFill>
            </a:rPr>
            <a:t>Calls</a:t>
          </a:r>
        </a:p>
      </xdr:txBody>
    </xdr:sp>
    <xdr:clientData/>
  </xdr:oneCellAnchor>
  <xdr:twoCellAnchor editAs="oneCell">
    <xdr:from>
      <xdr:col>2</xdr:col>
      <xdr:colOff>106680</xdr:colOff>
      <xdr:row>3</xdr:row>
      <xdr:rowOff>137161</xdr:rowOff>
    </xdr:from>
    <xdr:to>
      <xdr:col>2</xdr:col>
      <xdr:colOff>419100</xdr:colOff>
      <xdr:row>5</xdr:row>
      <xdr:rowOff>76241</xdr:rowOff>
    </xdr:to>
    <xdr:pic>
      <xdr:nvPicPr>
        <xdr:cNvPr id="7" name="Graphic 6" descr="Receiver with solid fill">
          <a:extLst>
            <a:ext uri="{FF2B5EF4-FFF2-40B4-BE49-F238E27FC236}">
              <a16:creationId xmlns:a16="http://schemas.microsoft.com/office/drawing/2014/main" id="{2F0CAAE4-1B0A-4A8A-8F20-7EBB58D6CB4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11480" y="685801"/>
          <a:ext cx="312420" cy="304840"/>
        </a:xfrm>
        <a:prstGeom prst="rect">
          <a:avLst/>
        </a:prstGeom>
      </xdr:spPr>
    </xdr:pic>
    <xdr:clientData/>
  </xdr:twoCellAnchor>
  <xdr:oneCellAnchor>
    <xdr:from>
      <xdr:col>2</xdr:col>
      <xdr:colOff>312420</xdr:colOff>
      <xdr:row>6</xdr:row>
      <xdr:rowOff>152400</xdr:rowOff>
    </xdr:from>
    <xdr:ext cx="708660" cy="335280"/>
    <xdr:sp macro="" textlink="'Pivot Tables'!A12">
      <xdr:nvSpPr>
        <xdr:cNvPr id="8" name="TextBox 7">
          <a:extLst>
            <a:ext uri="{FF2B5EF4-FFF2-40B4-BE49-F238E27FC236}">
              <a16:creationId xmlns:a16="http://schemas.microsoft.com/office/drawing/2014/main" id="{F8600321-1BFD-A7E8-E231-5A38514E2D39}"/>
            </a:ext>
          </a:extLst>
        </xdr:cNvPr>
        <xdr:cNvSpPr txBox="1"/>
      </xdr:nvSpPr>
      <xdr:spPr>
        <a:xfrm>
          <a:off x="617220" y="1249680"/>
          <a:ext cx="708660" cy="3352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65AE9FC6-C80E-46D6-9E49-6FA36B1494D8}" type="TxLink">
            <a:rPr lang="en-US" sz="1400" b="1" i="0" u="none" strike="noStrike">
              <a:solidFill>
                <a:schemeClr val="bg1"/>
              </a:solidFill>
              <a:latin typeface="Aptos"/>
            </a:rPr>
            <a:pPr algn="ctr"/>
            <a:t>218</a:t>
          </a:fld>
          <a:endParaRPr lang="en-GB" sz="1400" b="1">
            <a:solidFill>
              <a:schemeClr val="bg1"/>
            </a:solidFill>
          </a:endParaRPr>
        </a:p>
      </xdr:txBody>
    </xdr:sp>
    <xdr:clientData/>
  </xdr:oneCellAnchor>
  <xdr:twoCellAnchor>
    <xdr:from>
      <xdr:col>2</xdr:col>
      <xdr:colOff>60960</xdr:colOff>
      <xdr:row>11</xdr:row>
      <xdr:rowOff>45720</xdr:rowOff>
    </xdr:from>
    <xdr:to>
      <xdr:col>3</xdr:col>
      <xdr:colOff>594360</xdr:colOff>
      <xdr:row>16</xdr:row>
      <xdr:rowOff>121920</xdr:rowOff>
    </xdr:to>
    <xdr:sp macro="" textlink="'Pivot Tables'!B4">
      <xdr:nvSpPr>
        <xdr:cNvPr id="29" name="Rectangle 28">
          <a:extLst>
            <a:ext uri="{FF2B5EF4-FFF2-40B4-BE49-F238E27FC236}">
              <a16:creationId xmlns:a16="http://schemas.microsoft.com/office/drawing/2014/main" id="{90CD6C95-E33F-4420-BAA1-BD5376CEB078}"/>
            </a:ext>
          </a:extLst>
        </xdr:cNvPr>
        <xdr:cNvSpPr/>
      </xdr:nvSpPr>
      <xdr:spPr>
        <a:xfrm>
          <a:off x="365760" y="2057400"/>
          <a:ext cx="1203960" cy="990600"/>
        </a:xfrm>
        <a:prstGeom prst="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95C211C-A3CC-4114-A4AE-4B2CA1F4001D}" type="TxLink">
            <a:rPr lang="en-US" sz="2000" b="1" i="0" u="none" strike="noStrike">
              <a:solidFill>
                <a:schemeClr val="bg1"/>
              </a:solidFill>
              <a:effectLst>
                <a:outerShdw blurRad="254000" dist="127000" dir="2700000" algn="ctr" rotWithShape="0">
                  <a:srgbClr val="000000">
                    <a:alpha val="40000"/>
                  </a:srgbClr>
                </a:outerShdw>
              </a:effectLst>
              <a:latin typeface="Aptos"/>
            </a:rPr>
            <a:pPr algn="ctr"/>
            <a:t>£96,623</a:t>
          </a:fld>
          <a:endParaRPr lang="en-GB" sz="2000" b="1">
            <a:solidFill>
              <a:schemeClr val="bg1"/>
            </a:solidFill>
            <a:effectLst>
              <a:outerShdw blurRad="254000" dist="127000" dir="2700000" algn="ctr" rotWithShape="0">
                <a:srgbClr val="000000">
                  <a:alpha val="40000"/>
                </a:srgbClr>
              </a:outerShdw>
            </a:effectLst>
          </a:endParaRPr>
        </a:p>
      </xdr:txBody>
    </xdr:sp>
    <xdr:clientData/>
  </xdr:twoCellAnchor>
  <xdr:oneCellAnchor>
    <xdr:from>
      <xdr:col>2</xdr:col>
      <xdr:colOff>243840</xdr:colOff>
      <xdr:row>11</xdr:row>
      <xdr:rowOff>83820</xdr:rowOff>
    </xdr:from>
    <xdr:ext cx="922020" cy="419100"/>
    <xdr:sp macro="" textlink="">
      <xdr:nvSpPr>
        <xdr:cNvPr id="30" name="TextBox 29">
          <a:extLst>
            <a:ext uri="{FF2B5EF4-FFF2-40B4-BE49-F238E27FC236}">
              <a16:creationId xmlns:a16="http://schemas.microsoft.com/office/drawing/2014/main" id="{CA54614E-7802-4DAE-9D5E-6DC55670DCFB}"/>
            </a:ext>
          </a:extLst>
        </xdr:cNvPr>
        <xdr:cNvSpPr txBox="1"/>
      </xdr:nvSpPr>
      <xdr:spPr>
        <a:xfrm>
          <a:off x="548640" y="2095500"/>
          <a:ext cx="922020" cy="4191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GB" sz="1400" b="1">
              <a:solidFill>
                <a:schemeClr val="bg1"/>
              </a:solidFill>
            </a:rPr>
            <a:t>Amount</a:t>
          </a:r>
        </a:p>
      </xdr:txBody>
    </xdr:sp>
    <xdr:clientData/>
  </xdr:oneCellAnchor>
  <xdr:oneCellAnchor>
    <xdr:from>
      <xdr:col>2</xdr:col>
      <xdr:colOff>190500</xdr:colOff>
      <xdr:row>14</xdr:row>
      <xdr:rowOff>91440</xdr:rowOff>
    </xdr:from>
    <xdr:ext cx="960120" cy="426720"/>
    <xdr:sp macro="" textlink="'Pivot Tables'!B12">
      <xdr:nvSpPr>
        <xdr:cNvPr id="32" name="TextBox 31">
          <a:extLst>
            <a:ext uri="{FF2B5EF4-FFF2-40B4-BE49-F238E27FC236}">
              <a16:creationId xmlns:a16="http://schemas.microsoft.com/office/drawing/2014/main" id="{BAB199CE-2CEB-4B6A-8B1E-7C9BEEEF614E}"/>
            </a:ext>
          </a:extLst>
        </xdr:cNvPr>
        <xdr:cNvSpPr txBox="1"/>
      </xdr:nvSpPr>
      <xdr:spPr>
        <a:xfrm>
          <a:off x="495300" y="2651760"/>
          <a:ext cx="960120" cy="4267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3802490-BF19-4B62-9BE2-15B7D586B45F}" type="TxLink">
            <a:rPr lang="en-US" sz="1400" b="1" i="0" u="none" strike="noStrike">
              <a:solidFill>
                <a:schemeClr val="bg1"/>
              </a:solidFill>
              <a:latin typeface="Aptos"/>
            </a:rPr>
            <a:pPr algn="ctr"/>
            <a:t>£20,581</a:t>
          </a:fld>
          <a:endParaRPr lang="en-GB" sz="1400" b="1">
            <a:solidFill>
              <a:schemeClr val="bg1"/>
            </a:solidFill>
          </a:endParaRPr>
        </a:p>
      </xdr:txBody>
    </xdr:sp>
    <xdr:clientData/>
  </xdr:oneCellAnchor>
  <xdr:twoCellAnchor>
    <xdr:from>
      <xdr:col>2</xdr:col>
      <xdr:colOff>45720</xdr:colOff>
      <xdr:row>19</xdr:row>
      <xdr:rowOff>22860</xdr:rowOff>
    </xdr:from>
    <xdr:to>
      <xdr:col>3</xdr:col>
      <xdr:colOff>579120</xdr:colOff>
      <xdr:row>24</xdr:row>
      <xdr:rowOff>99060</xdr:rowOff>
    </xdr:to>
    <xdr:sp macro="" textlink="'Pivot Tables'!C4">
      <xdr:nvSpPr>
        <xdr:cNvPr id="33" name="Rectangle 32">
          <a:extLst>
            <a:ext uri="{FF2B5EF4-FFF2-40B4-BE49-F238E27FC236}">
              <a16:creationId xmlns:a16="http://schemas.microsoft.com/office/drawing/2014/main" id="{CEEE8537-267B-4070-AFC8-83CE9267D35A}"/>
            </a:ext>
          </a:extLst>
        </xdr:cNvPr>
        <xdr:cNvSpPr/>
      </xdr:nvSpPr>
      <xdr:spPr>
        <a:xfrm>
          <a:off x="350520" y="3497580"/>
          <a:ext cx="1203960" cy="990600"/>
        </a:xfrm>
        <a:prstGeom prst="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7E81AAC-0251-47F3-896D-49895AA51ECF}" type="TxLink">
            <a:rPr lang="en-US" sz="2000" b="1" i="0" u="none" strike="noStrike">
              <a:solidFill>
                <a:schemeClr val="bg1"/>
              </a:solidFill>
              <a:effectLst>
                <a:outerShdw blurRad="254000" dist="127000" dir="2700000" algn="ctr" rotWithShape="0">
                  <a:srgbClr val="000000">
                    <a:alpha val="40000"/>
                  </a:srgbClr>
                </a:outerShdw>
              </a:effectLst>
              <a:latin typeface="Aptos"/>
            </a:rPr>
            <a:pPr algn="ctr"/>
            <a:t>89,850</a:t>
          </a:fld>
          <a:endParaRPr lang="en-GB" sz="2000" b="1">
            <a:solidFill>
              <a:schemeClr val="bg1"/>
            </a:solidFill>
            <a:effectLst>
              <a:outerShdw blurRad="254000" dist="127000" dir="2700000" algn="ctr" rotWithShape="0">
                <a:srgbClr val="000000">
                  <a:alpha val="40000"/>
                </a:srgbClr>
              </a:outerShdw>
            </a:effectLst>
          </a:endParaRPr>
        </a:p>
      </xdr:txBody>
    </xdr:sp>
    <xdr:clientData/>
  </xdr:twoCellAnchor>
  <xdr:oneCellAnchor>
    <xdr:from>
      <xdr:col>2</xdr:col>
      <xdr:colOff>205740</xdr:colOff>
      <xdr:row>19</xdr:row>
      <xdr:rowOff>45720</xdr:rowOff>
    </xdr:from>
    <xdr:ext cx="952500" cy="403860"/>
    <xdr:sp macro="" textlink="">
      <xdr:nvSpPr>
        <xdr:cNvPr id="34" name="TextBox 33">
          <a:extLst>
            <a:ext uri="{FF2B5EF4-FFF2-40B4-BE49-F238E27FC236}">
              <a16:creationId xmlns:a16="http://schemas.microsoft.com/office/drawing/2014/main" id="{30C2BD28-C306-41DA-BB6E-A3A0C83396AD}"/>
            </a:ext>
          </a:extLst>
        </xdr:cNvPr>
        <xdr:cNvSpPr txBox="1"/>
      </xdr:nvSpPr>
      <xdr:spPr>
        <a:xfrm>
          <a:off x="510540" y="3520440"/>
          <a:ext cx="952500" cy="4038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GB" sz="1400" b="1">
              <a:solidFill>
                <a:schemeClr val="bg1"/>
              </a:solidFill>
            </a:rPr>
            <a:t>Duration</a:t>
          </a:r>
        </a:p>
      </xdr:txBody>
    </xdr:sp>
    <xdr:clientData/>
  </xdr:oneCellAnchor>
  <xdr:oneCellAnchor>
    <xdr:from>
      <xdr:col>2</xdr:col>
      <xdr:colOff>175260</xdr:colOff>
      <xdr:row>22</xdr:row>
      <xdr:rowOff>53340</xdr:rowOff>
    </xdr:from>
    <xdr:ext cx="822960" cy="365760"/>
    <xdr:sp macro="" textlink="'Pivot Tables'!C12">
      <xdr:nvSpPr>
        <xdr:cNvPr id="36" name="TextBox 35">
          <a:extLst>
            <a:ext uri="{FF2B5EF4-FFF2-40B4-BE49-F238E27FC236}">
              <a16:creationId xmlns:a16="http://schemas.microsoft.com/office/drawing/2014/main" id="{516774B4-FC6D-4205-980B-988CD8C66183}"/>
            </a:ext>
          </a:extLst>
        </xdr:cNvPr>
        <xdr:cNvSpPr txBox="1"/>
      </xdr:nvSpPr>
      <xdr:spPr>
        <a:xfrm>
          <a:off x="480060" y="4076700"/>
          <a:ext cx="822960" cy="3657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FBFA865-6F59-42CC-BF64-06A7A26D0F57}" type="TxLink">
            <a:rPr lang="en-US" sz="1400" b="1" i="0" u="none" strike="noStrike">
              <a:solidFill>
                <a:schemeClr val="bg1"/>
              </a:solidFill>
              <a:latin typeface="Aptos"/>
            </a:rPr>
            <a:pPr algn="ctr"/>
            <a:t>19,300</a:t>
          </a:fld>
          <a:endParaRPr lang="en-GB" sz="1400" b="1">
            <a:solidFill>
              <a:schemeClr val="bg1"/>
            </a:solidFill>
          </a:endParaRPr>
        </a:p>
      </xdr:txBody>
    </xdr:sp>
    <xdr:clientData/>
  </xdr:oneCellAnchor>
  <xdr:twoCellAnchor>
    <xdr:from>
      <xdr:col>2</xdr:col>
      <xdr:colOff>45720</xdr:colOff>
      <xdr:row>27</xdr:row>
      <xdr:rowOff>15240</xdr:rowOff>
    </xdr:from>
    <xdr:to>
      <xdr:col>3</xdr:col>
      <xdr:colOff>579120</xdr:colOff>
      <xdr:row>32</xdr:row>
      <xdr:rowOff>91440</xdr:rowOff>
    </xdr:to>
    <xdr:sp macro="" textlink="'Pivot Tables'!D4">
      <xdr:nvSpPr>
        <xdr:cNvPr id="37" name="Rectangle 36">
          <a:extLst>
            <a:ext uri="{FF2B5EF4-FFF2-40B4-BE49-F238E27FC236}">
              <a16:creationId xmlns:a16="http://schemas.microsoft.com/office/drawing/2014/main" id="{6D18582F-FEA7-4329-A694-A3AAF377A9C5}"/>
            </a:ext>
          </a:extLst>
        </xdr:cNvPr>
        <xdr:cNvSpPr/>
      </xdr:nvSpPr>
      <xdr:spPr>
        <a:xfrm>
          <a:off x="350520" y="4953000"/>
          <a:ext cx="1203960" cy="990600"/>
        </a:xfrm>
        <a:prstGeom prst="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BE13D8E-9BA7-4D27-AD32-4E4F3BDFEF49}" type="TxLink">
            <a:rPr lang="en-US" sz="2000" b="1" i="0" u="none" strike="noStrike">
              <a:solidFill>
                <a:schemeClr val="bg1"/>
              </a:solidFill>
              <a:effectLst>
                <a:outerShdw blurRad="254000" dist="127000" dir="2700000" algn="ctr" rotWithShape="0">
                  <a:srgbClr val="000000">
                    <a:alpha val="40000"/>
                  </a:srgbClr>
                </a:outerShdw>
              </a:effectLst>
              <a:latin typeface="Aptos"/>
              <a:ea typeface="+mn-ea"/>
              <a:cs typeface="+mn-cs"/>
            </a:rPr>
            <a:pPr marL="0" indent="0" algn="ctr"/>
            <a:t>3.9</a:t>
          </a:fld>
          <a:endParaRPr lang="en-GB" sz="2000" b="1" i="0" u="none" strike="noStrike">
            <a:solidFill>
              <a:schemeClr val="bg1"/>
            </a:solidFill>
            <a:effectLst>
              <a:outerShdw blurRad="254000" dist="127000" dir="2700000" algn="ctr" rotWithShape="0">
                <a:srgbClr val="000000">
                  <a:alpha val="40000"/>
                </a:srgbClr>
              </a:outerShdw>
            </a:effectLst>
            <a:latin typeface="Aptos"/>
            <a:ea typeface="+mn-ea"/>
            <a:cs typeface="+mn-cs"/>
          </a:endParaRPr>
        </a:p>
      </xdr:txBody>
    </xdr:sp>
    <xdr:clientData/>
  </xdr:twoCellAnchor>
  <xdr:oneCellAnchor>
    <xdr:from>
      <xdr:col>2</xdr:col>
      <xdr:colOff>228600</xdr:colOff>
      <xdr:row>27</xdr:row>
      <xdr:rowOff>45720</xdr:rowOff>
    </xdr:from>
    <xdr:ext cx="1089660" cy="312420"/>
    <xdr:sp macro="" textlink="">
      <xdr:nvSpPr>
        <xdr:cNvPr id="38" name="TextBox 37">
          <a:extLst>
            <a:ext uri="{FF2B5EF4-FFF2-40B4-BE49-F238E27FC236}">
              <a16:creationId xmlns:a16="http://schemas.microsoft.com/office/drawing/2014/main" id="{FB8E4006-6CBE-4492-89C7-D916AB938DFE}"/>
            </a:ext>
          </a:extLst>
        </xdr:cNvPr>
        <xdr:cNvSpPr txBox="1"/>
      </xdr:nvSpPr>
      <xdr:spPr>
        <a:xfrm>
          <a:off x="533400" y="4983480"/>
          <a:ext cx="1089660" cy="3124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GB" sz="1400" b="1">
              <a:solidFill>
                <a:schemeClr val="bg1"/>
              </a:solidFill>
            </a:rPr>
            <a:t>Avg Rating</a:t>
          </a:r>
        </a:p>
      </xdr:txBody>
    </xdr:sp>
    <xdr:clientData/>
  </xdr:oneCellAnchor>
  <xdr:oneCellAnchor>
    <xdr:from>
      <xdr:col>2</xdr:col>
      <xdr:colOff>312420</xdr:colOff>
      <xdr:row>30</xdr:row>
      <xdr:rowOff>7620</xdr:rowOff>
    </xdr:from>
    <xdr:ext cx="708660" cy="457200"/>
    <xdr:sp macro="" textlink="'Pivot Tables'!D12">
      <xdr:nvSpPr>
        <xdr:cNvPr id="40" name="TextBox 39">
          <a:extLst>
            <a:ext uri="{FF2B5EF4-FFF2-40B4-BE49-F238E27FC236}">
              <a16:creationId xmlns:a16="http://schemas.microsoft.com/office/drawing/2014/main" id="{7C3C627E-3B72-4C49-AA5E-300F04D2D170}"/>
            </a:ext>
          </a:extLst>
        </xdr:cNvPr>
        <xdr:cNvSpPr txBox="1"/>
      </xdr:nvSpPr>
      <xdr:spPr>
        <a:xfrm>
          <a:off x="617220" y="5494020"/>
          <a:ext cx="708660" cy="457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D8195E68-FA8A-4971-AC49-2A03FF1A90FE}" type="TxLink">
            <a:rPr lang="en-US" sz="1400" b="1" i="0" u="none" strike="noStrike">
              <a:solidFill>
                <a:schemeClr val="bg1"/>
              </a:solidFill>
              <a:latin typeface="Aptos"/>
              <a:ea typeface="+mn-ea"/>
              <a:cs typeface="+mn-cs"/>
            </a:rPr>
            <a:pPr marL="0" indent="0" algn="ctr"/>
            <a:t>3.9</a:t>
          </a:fld>
          <a:endParaRPr lang="en-GB" sz="1400" b="1" i="0" u="none" strike="noStrike">
            <a:solidFill>
              <a:schemeClr val="bg1"/>
            </a:solidFill>
            <a:latin typeface="Aptos"/>
            <a:ea typeface="+mn-ea"/>
            <a:cs typeface="+mn-cs"/>
          </a:endParaRPr>
        </a:p>
      </xdr:txBody>
    </xdr:sp>
    <xdr:clientData/>
  </xdr:oneCellAnchor>
  <xdr:twoCellAnchor>
    <xdr:from>
      <xdr:col>2</xdr:col>
      <xdr:colOff>76200</xdr:colOff>
      <xdr:row>34</xdr:row>
      <xdr:rowOff>106680</xdr:rowOff>
    </xdr:from>
    <xdr:to>
      <xdr:col>3</xdr:col>
      <xdr:colOff>609600</xdr:colOff>
      <xdr:row>40</xdr:row>
      <xdr:rowOff>0</xdr:rowOff>
    </xdr:to>
    <xdr:sp macro="" textlink="'Pivot Tables'!E4">
      <xdr:nvSpPr>
        <xdr:cNvPr id="41" name="Rectangle 40">
          <a:extLst>
            <a:ext uri="{FF2B5EF4-FFF2-40B4-BE49-F238E27FC236}">
              <a16:creationId xmlns:a16="http://schemas.microsoft.com/office/drawing/2014/main" id="{CC615C92-F0D4-4B4C-A0EC-65A7517B567E}"/>
            </a:ext>
          </a:extLst>
        </xdr:cNvPr>
        <xdr:cNvSpPr/>
      </xdr:nvSpPr>
      <xdr:spPr>
        <a:xfrm>
          <a:off x="381000" y="6324600"/>
          <a:ext cx="1203960" cy="990600"/>
        </a:xfrm>
        <a:prstGeom prst="rect">
          <a:avLst/>
        </a:prstGeom>
        <a:solidFill>
          <a:schemeClr val="accent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94E41F7-4370-4133-861C-77865EE8F125}" type="TxLink">
            <a:rPr lang="en-US" sz="2000" b="1" i="0" u="none" strike="noStrike">
              <a:solidFill>
                <a:schemeClr val="bg1"/>
              </a:solidFill>
              <a:effectLst>
                <a:outerShdw blurRad="254000" dist="127000" dir="2700000" algn="ctr" rotWithShape="0">
                  <a:srgbClr val="000000">
                    <a:alpha val="40000"/>
                  </a:srgbClr>
                </a:outerShdw>
              </a:effectLst>
              <a:latin typeface="Aptos"/>
              <a:ea typeface="+mn-ea"/>
              <a:cs typeface="+mn-cs"/>
            </a:rPr>
            <a:pPr marL="0" indent="0" algn="ctr"/>
            <a:t>307</a:t>
          </a:fld>
          <a:endParaRPr lang="en-GB" sz="2000" b="1" i="0" u="none" strike="noStrike">
            <a:solidFill>
              <a:schemeClr val="bg1"/>
            </a:solidFill>
            <a:effectLst>
              <a:outerShdw blurRad="254000" dist="127000" dir="2700000" algn="ctr" rotWithShape="0">
                <a:srgbClr val="000000">
                  <a:alpha val="40000"/>
                </a:srgbClr>
              </a:outerShdw>
            </a:effectLst>
            <a:latin typeface="Aptos"/>
            <a:ea typeface="+mn-ea"/>
            <a:cs typeface="+mn-cs"/>
          </a:endParaRPr>
        </a:p>
      </xdr:txBody>
    </xdr:sp>
    <xdr:clientData/>
  </xdr:twoCellAnchor>
  <xdr:oneCellAnchor>
    <xdr:from>
      <xdr:col>2</xdr:col>
      <xdr:colOff>198120</xdr:colOff>
      <xdr:row>34</xdr:row>
      <xdr:rowOff>144780</xdr:rowOff>
    </xdr:from>
    <xdr:ext cx="1097280" cy="487680"/>
    <xdr:sp macro="" textlink="">
      <xdr:nvSpPr>
        <xdr:cNvPr id="42" name="TextBox 41">
          <a:extLst>
            <a:ext uri="{FF2B5EF4-FFF2-40B4-BE49-F238E27FC236}">
              <a16:creationId xmlns:a16="http://schemas.microsoft.com/office/drawing/2014/main" id="{709394FE-688A-4372-834D-395B4C3C0F13}"/>
            </a:ext>
          </a:extLst>
        </xdr:cNvPr>
        <xdr:cNvSpPr txBox="1"/>
      </xdr:nvSpPr>
      <xdr:spPr>
        <a:xfrm>
          <a:off x="502920" y="6362700"/>
          <a:ext cx="1097280" cy="4876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GB" sz="1200" b="1">
              <a:solidFill>
                <a:schemeClr val="bg1"/>
              </a:solidFill>
            </a:rPr>
            <a:t>Happy Calls</a:t>
          </a:r>
        </a:p>
      </xdr:txBody>
    </xdr:sp>
    <xdr:clientData/>
  </xdr:oneCellAnchor>
  <xdr:oneCellAnchor>
    <xdr:from>
      <xdr:col>2</xdr:col>
      <xdr:colOff>304800</xdr:colOff>
      <xdr:row>38</xdr:row>
      <xdr:rowOff>0</xdr:rowOff>
    </xdr:from>
    <xdr:ext cx="708660" cy="426720"/>
    <xdr:sp macro="" textlink="'Pivot Tables'!E12">
      <xdr:nvSpPr>
        <xdr:cNvPr id="44" name="TextBox 43">
          <a:extLst>
            <a:ext uri="{FF2B5EF4-FFF2-40B4-BE49-F238E27FC236}">
              <a16:creationId xmlns:a16="http://schemas.microsoft.com/office/drawing/2014/main" id="{7E68C71C-B5B9-4226-ABAC-6E0ABECEC7F1}"/>
            </a:ext>
          </a:extLst>
        </xdr:cNvPr>
        <xdr:cNvSpPr txBox="1"/>
      </xdr:nvSpPr>
      <xdr:spPr>
        <a:xfrm>
          <a:off x="609600" y="6949440"/>
          <a:ext cx="708660" cy="4267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651035F6-4797-49D2-9E97-12E6508800F2}" type="TxLink">
            <a:rPr lang="en-US" sz="1400" b="1" i="0" u="none" strike="noStrike">
              <a:solidFill>
                <a:schemeClr val="bg1"/>
              </a:solidFill>
              <a:latin typeface="Aptos"/>
              <a:ea typeface="+mn-ea"/>
              <a:cs typeface="+mn-cs"/>
            </a:rPr>
            <a:pPr marL="0" indent="0" algn="ctr"/>
            <a:t>74</a:t>
          </a:fld>
          <a:endParaRPr lang="en-GB" sz="1400" b="1" i="0" u="none" strike="noStrike">
            <a:solidFill>
              <a:schemeClr val="bg1"/>
            </a:solidFill>
            <a:latin typeface="Aptos"/>
            <a:ea typeface="+mn-ea"/>
            <a:cs typeface="+mn-cs"/>
          </a:endParaRPr>
        </a:p>
      </xdr:txBody>
    </xdr:sp>
    <xdr:clientData/>
  </xdr:oneCellAnchor>
  <xdr:twoCellAnchor editAs="oneCell">
    <xdr:from>
      <xdr:col>2</xdr:col>
      <xdr:colOff>53340</xdr:colOff>
      <xdr:row>19</xdr:row>
      <xdr:rowOff>68581</xdr:rowOff>
    </xdr:from>
    <xdr:to>
      <xdr:col>2</xdr:col>
      <xdr:colOff>354169</xdr:colOff>
      <xdr:row>21</xdr:row>
      <xdr:rowOff>1</xdr:rowOff>
    </xdr:to>
    <xdr:pic>
      <xdr:nvPicPr>
        <xdr:cNvPr id="45" name="Graphic 44" descr="Hourglass Finished with solid fill">
          <a:extLst>
            <a:ext uri="{FF2B5EF4-FFF2-40B4-BE49-F238E27FC236}">
              <a16:creationId xmlns:a16="http://schemas.microsoft.com/office/drawing/2014/main" id="{7FB74CA7-C9B2-45E2-A727-B0FA52FB719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58140" y="3543301"/>
          <a:ext cx="300829" cy="297180"/>
        </a:xfrm>
        <a:prstGeom prst="rect">
          <a:avLst/>
        </a:prstGeom>
      </xdr:spPr>
    </xdr:pic>
    <xdr:clientData/>
  </xdr:twoCellAnchor>
  <xdr:twoCellAnchor editAs="oneCell">
    <xdr:from>
      <xdr:col>2</xdr:col>
      <xdr:colOff>53341</xdr:colOff>
      <xdr:row>35</xdr:row>
      <xdr:rowOff>7621</xdr:rowOff>
    </xdr:from>
    <xdr:to>
      <xdr:col>2</xdr:col>
      <xdr:colOff>326671</xdr:colOff>
      <xdr:row>36</xdr:row>
      <xdr:rowOff>91440</xdr:rowOff>
    </xdr:to>
    <xdr:pic>
      <xdr:nvPicPr>
        <xdr:cNvPr id="46" name="Graphic 45" descr="Star-struck face outline with solid fill">
          <a:extLst>
            <a:ext uri="{FF2B5EF4-FFF2-40B4-BE49-F238E27FC236}">
              <a16:creationId xmlns:a16="http://schemas.microsoft.com/office/drawing/2014/main" id="{05C7D971-98E5-4487-A32F-053E0D089D2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58141" y="6408421"/>
          <a:ext cx="273330" cy="266699"/>
        </a:xfrm>
        <a:prstGeom prst="rect">
          <a:avLst/>
        </a:prstGeom>
      </xdr:spPr>
    </xdr:pic>
    <xdr:clientData/>
  </xdr:twoCellAnchor>
  <xdr:twoCellAnchor editAs="oneCell">
    <xdr:from>
      <xdr:col>2</xdr:col>
      <xdr:colOff>83820</xdr:colOff>
      <xdr:row>11</xdr:row>
      <xdr:rowOff>99060</xdr:rowOff>
    </xdr:from>
    <xdr:to>
      <xdr:col>2</xdr:col>
      <xdr:colOff>384316</xdr:colOff>
      <xdr:row>13</xdr:row>
      <xdr:rowOff>22860</xdr:rowOff>
    </xdr:to>
    <xdr:pic>
      <xdr:nvPicPr>
        <xdr:cNvPr id="47" name="Graphic 46" descr="Shopping cart with solid fill">
          <a:extLst>
            <a:ext uri="{FF2B5EF4-FFF2-40B4-BE49-F238E27FC236}">
              <a16:creationId xmlns:a16="http://schemas.microsoft.com/office/drawing/2014/main" id="{1754FEC4-0023-4A25-8029-461F90BC254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88620" y="2110740"/>
          <a:ext cx="300496" cy="289560"/>
        </a:xfrm>
        <a:prstGeom prst="rect">
          <a:avLst/>
        </a:prstGeom>
      </xdr:spPr>
    </xdr:pic>
    <xdr:clientData/>
  </xdr:twoCellAnchor>
  <xdr:twoCellAnchor editAs="oneCell">
    <xdr:from>
      <xdr:col>2</xdr:col>
      <xdr:colOff>91440</xdr:colOff>
      <xdr:row>26</xdr:row>
      <xdr:rowOff>152401</xdr:rowOff>
    </xdr:from>
    <xdr:to>
      <xdr:col>2</xdr:col>
      <xdr:colOff>367838</xdr:colOff>
      <xdr:row>28</xdr:row>
      <xdr:rowOff>106680</xdr:rowOff>
    </xdr:to>
    <xdr:pic>
      <xdr:nvPicPr>
        <xdr:cNvPr id="48" name="Graphic 47" descr="Rating Star with solid fill">
          <a:extLst>
            <a:ext uri="{FF2B5EF4-FFF2-40B4-BE49-F238E27FC236}">
              <a16:creationId xmlns:a16="http://schemas.microsoft.com/office/drawing/2014/main" id="{13FF526D-2E3B-47CA-B889-365FB6965E5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396240" y="4907281"/>
          <a:ext cx="276398" cy="320039"/>
        </a:xfrm>
        <a:prstGeom prst="rect">
          <a:avLst/>
        </a:prstGeom>
      </xdr:spPr>
    </xdr:pic>
    <xdr:clientData/>
  </xdr:twoCellAnchor>
  <xdr:twoCellAnchor>
    <xdr:from>
      <xdr:col>4</xdr:col>
      <xdr:colOff>15240</xdr:colOff>
      <xdr:row>3</xdr:row>
      <xdr:rowOff>83820</xdr:rowOff>
    </xdr:from>
    <xdr:to>
      <xdr:col>9</xdr:col>
      <xdr:colOff>152400</xdr:colOff>
      <xdr:row>17</xdr:row>
      <xdr:rowOff>0</xdr:rowOff>
    </xdr:to>
    <xdr:graphicFrame macro="">
      <xdr:nvGraphicFramePr>
        <xdr:cNvPr id="50" name="Chart 49">
          <a:extLst>
            <a:ext uri="{FF2B5EF4-FFF2-40B4-BE49-F238E27FC236}">
              <a16:creationId xmlns:a16="http://schemas.microsoft.com/office/drawing/2014/main" id="{F29241C9-EF32-4CBC-B963-2EACD144D4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38100</xdr:colOff>
      <xdr:row>4</xdr:row>
      <xdr:rowOff>99060</xdr:rowOff>
    </xdr:from>
    <xdr:to>
      <xdr:col>12</xdr:col>
      <xdr:colOff>152400</xdr:colOff>
      <xdr:row>16</xdr:row>
      <xdr:rowOff>15240</xdr:rowOff>
    </xdr:to>
    <xdr:graphicFrame macro="">
      <xdr:nvGraphicFramePr>
        <xdr:cNvPr id="51" name="Chart 50">
          <a:extLst>
            <a:ext uri="{FF2B5EF4-FFF2-40B4-BE49-F238E27FC236}">
              <a16:creationId xmlns:a16="http://schemas.microsoft.com/office/drawing/2014/main" id="{BB56A16F-DF5C-4FFC-90E7-644151B3E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15241</xdr:colOff>
      <xdr:row>17</xdr:row>
      <xdr:rowOff>160020</xdr:rowOff>
    </xdr:from>
    <xdr:to>
      <xdr:col>7</xdr:col>
      <xdr:colOff>426721</xdr:colOff>
      <xdr:row>40</xdr:row>
      <xdr:rowOff>7620</xdr:rowOff>
    </xdr:to>
    <xdr:graphicFrame macro="">
      <xdr:nvGraphicFramePr>
        <xdr:cNvPr id="61" name="Chart 60">
          <a:extLst>
            <a:ext uri="{FF2B5EF4-FFF2-40B4-BE49-F238E27FC236}">
              <a16:creationId xmlns:a16="http://schemas.microsoft.com/office/drawing/2014/main" id="{0798604B-8EA7-4790-B8D9-11DB6FC166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140970</xdr:colOff>
      <xdr:row>18</xdr:row>
      <xdr:rowOff>0</xdr:rowOff>
    </xdr:from>
    <xdr:to>
      <xdr:col>10</xdr:col>
      <xdr:colOff>525780</xdr:colOff>
      <xdr:row>40</xdr:row>
      <xdr:rowOff>0</xdr:rowOff>
    </xdr:to>
    <xdr:graphicFrame macro="">
      <xdr:nvGraphicFramePr>
        <xdr:cNvPr id="62" name="Chart 61">
          <a:extLst>
            <a:ext uri="{FF2B5EF4-FFF2-40B4-BE49-F238E27FC236}">
              <a16:creationId xmlns:a16="http://schemas.microsoft.com/office/drawing/2014/main" id="{86F136CF-4A21-468D-9DCA-A5CB7993D1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190500</xdr:colOff>
      <xdr:row>3</xdr:row>
      <xdr:rowOff>60960</xdr:rowOff>
    </xdr:from>
    <xdr:to>
      <xdr:col>15</xdr:col>
      <xdr:colOff>655320</xdr:colOff>
      <xdr:row>17</xdr:row>
      <xdr:rowOff>15240</xdr:rowOff>
    </xdr:to>
    <xdr:graphicFrame macro="">
      <xdr:nvGraphicFramePr>
        <xdr:cNvPr id="63" name="Chart 62">
          <a:extLst>
            <a:ext uri="{FF2B5EF4-FFF2-40B4-BE49-F238E27FC236}">
              <a16:creationId xmlns:a16="http://schemas.microsoft.com/office/drawing/2014/main" id="{10A27B24-0335-4C3D-9A9E-B26F636636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16</xdr:col>
      <xdr:colOff>22860</xdr:colOff>
      <xdr:row>3</xdr:row>
      <xdr:rowOff>60960</xdr:rowOff>
    </xdr:from>
    <xdr:to>
      <xdr:col>20</xdr:col>
      <xdr:colOff>22860</xdr:colOff>
      <xdr:row>17</xdr:row>
      <xdr:rowOff>22860</xdr:rowOff>
    </xdr:to>
    <xdr:graphicFrame macro="">
      <xdr:nvGraphicFramePr>
        <xdr:cNvPr id="64" name="Chart 63">
          <a:extLst>
            <a:ext uri="{FF2B5EF4-FFF2-40B4-BE49-F238E27FC236}">
              <a16:creationId xmlns:a16="http://schemas.microsoft.com/office/drawing/2014/main" id="{19300F73-0513-427F-B796-D5ED4E30CA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10</xdr:col>
      <xdr:colOff>518160</xdr:colOff>
      <xdr:row>20</xdr:row>
      <xdr:rowOff>60960</xdr:rowOff>
    </xdr:from>
    <xdr:to>
      <xdr:col>12</xdr:col>
      <xdr:colOff>419100</xdr:colOff>
      <xdr:row>30</xdr:row>
      <xdr:rowOff>167640</xdr:rowOff>
    </xdr:to>
    <mc:AlternateContent xmlns:mc="http://schemas.openxmlformats.org/markup-compatibility/2006" xmlns:a14="http://schemas.microsoft.com/office/drawing/2010/main">
      <mc:Choice Requires="a14">
        <xdr:graphicFrame macro="">
          <xdr:nvGraphicFramePr>
            <xdr:cNvPr id="66" name="Representative 1">
              <a:extLst>
                <a:ext uri="{FF2B5EF4-FFF2-40B4-BE49-F238E27FC236}">
                  <a16:creationId xmlns:a16="http://schemas.microsoft.com/office/drawing/2014/main" id="{C0431207-3C8C-43DE-ADDC-7864BF532C0A}"/>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6187440" y="4137660"/>
              <a:ext cx="1242060" cy="19354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Barrah" refreshedDate="45943.149461689813" backgroundQuery="1" createdVersion="8" refreshedVersion="8" minRefreshableVersion="3" recordCount="0" supportSubquery="1" supportAdvancedDrill="1" xr:uid="{46C51215-2E8A-4365-8692-8140DC6496CB}">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Barrah" refreshedDate="45943.560492939818" backgroundQuery="1" createdVersion="8" refreshedVersion="8" minRefreshableVersion="3" recordCount="0" supportSubquery="1" supportAdvancedDrill="1" xr:uid="{02AB3DB8-0855-4B58-A636-1001B3630BBB}">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2" memberValueDatatype="130" unbalanced="0"/>
    <cacheHierarchy uniqueName="[calls].[Customer ID]" caption="Customer ID" attribute="1" defaultMemberUniqueName="[calls].[Customer ID].[All]" allUniqueName="[calls].[Customer ID].[All]" dimensionUniqueName="[calls]" displayFolder="" count="2" memberValueDatatype="130" unbalanced="0"/>
    <cacheHierarchy uniqueName="[calls].[Duration]" caption="Duration" attribute="1" defaultMemberUniqueName="[calls].[Duration].[All]" allUniqueName="[calls].[Duration].[All]" dimensionUniqueName="[calls]" displayFolder="" count="2"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2" memberValueDatatype="20" unbalanced="0"/>
    <cacheHierarchy uniqueName="[calls].[Satisfaction Rating]" caption="Satisfaction Rating" attribute="1" defaultMemberUniqueName="[calls].[Satisfaction Rating].[All]" allUniqueName="[calls].[Satisfaction Rating].[All]" dimensionUniqueName="[calls]" displayFolder="" count="2" memberValueDatatype="5" unbalanced="0"/>
    <cacheHierarchy uniqueName="[calls].[FY]" caption="FY" attribute="1" defaultMemberUniqueName="[calls].[FY].[All]" allUniqueName="[calls].[FY].[All]" dimensionUniqueName="[calls]" displayFolder="" count="2" memberValueDatatype="20" unbalanced="0"/>
    <cacheHierarchy uniqueName="[calls].[Day of week]" caption="Day of week" attribute="1" defaultMemberUniqueName="[calls].[Day of week].[All]" allUniqueName="[calls].[Day of week].[All]" dimensionUniqueName="[calls]" displayFolder="" count="2" memberValueDatatype="130" unbalanced="0"/>
    <cacheHierarchy uniqueName="[calls].[Duration Bucket]" caption="Duration Bucket" attribute="1" defaultMemberUniqueName="[calls].[Duration Bucket].[All]" allUniqueName="[calls].[Duration Bucket].[All]" dimensionUniqueName="[calls]" displayFolder="" count="2"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2"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2"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Barrah" refreshedDate="45944.010657523148" backgroundQuery="1" createdVersion="8" refreshedVersion="8" minRefreshableVersion="3" recordCount="0" supportSubquery="1" supportAdvancedDrill="1" xr:uid="{31B82756-3008-473C-AD09-CC9EE5C00B71}">
  <cacheSource type="external" connectionId="1"/>
  <cacheFields count="3">
    <cacheField name="[customers].[Gedner].[Gedner]" caption="Gedner" numFmtId="0" hierarchy="13" level="1">
      <sharedItems count="2">
        <s v="Female"/>
        <s v="Male"/>
      </sharedItems>
    </cacheField>
    <cacheField name="[customers].[City].[City]" caption="City" numFmtId="0" hierarchy="15" level="1">
      <sharedItems count="3">
        <s v="Cincinnati"/>
        <s v="Cleveland"/>
        <s v="Columbus"/>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0"/>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Barrah" refreshedDate="45944.051873379627" backgroundQuery="1" createdVersion="8" refreshedVersion="8" minRefreshableVersion="3" recordCount="0" supportSubquery="1" supportAdvancedDrill="1" xr:uid="{5463527A-3CA8-426E-B974-368F583194C1}">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Barrah" refreshedDate="45944.092916898146" backgroundQuery="1" createdVersion="8" refreshedVersion="8" minRefreshableVersion="3" recordCount="0" supportSubquery="1" supportAdvancedDrill="1" xr:uid="{4E9AC6CE-4A67-4D3C-A6EB-84E1961C9637}">
  <cacheSource type="external" connectionId="1"/>
  <cacheFields count="1">
    <cacheField name="[calls].[Representative].[Representative]" caption="Representative" numFmtId="0" hierarchy="3" level="1">
      <sharedItems count="1">
        <s v="R02"/>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Barrah" refreshedDate="45944.092917708331" backgroundQuery="1" createdVersion="8" refreshedVersion="8" minRefreshableVersion="3" recordCount="0" supportSubquery="1" supportAdvancedDrill="1" xr:uid="{B3EE227B-0AD3-4DF5-A99C-361C07C67AA1}">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Barrah" refreshedDate="45944.092918518516" backgroundQuery="1" createdVersion="8" refreshedVersion="8" minRefreshableVersion="3" recordCount="0" supportSubquery="1" supportAdvancedDrill="1" xr:uid="{4A9B6BBA-E3D1-4A21-A1FF-7BF0CA1CA24C}">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3-12-30T00:00:00" count="152">
        <d v="2023-01-01T00:00:00"/>
        <d v="2023-01-03T00:00:00"/>
        <d v="2023-01-04T00:00:00"/>
        <d v="2023-01-05T00:00:00"/>
        <d v="2023-01-08T00:00:00"/>
        <d v="2023-01-14T00:00:00"/>
        <d v="2023-01-16T00:00:00"/>
        <d v="2023-01-18T00:00:00"/>
        <d v="2023-01-20T00:00:00"/>
        <d v="2023-01-23T00:00:00"/>
        <d v="2023-01-24T00:00:00"/>
        <d v="2023-01-26T00:00:00"/>
        <d v="2023-01-30T00:00:00"/>
        <d v="2023-02-02T00:00:00"/>
        <d v="2023-02-07T00:00:00"/>
        <d v="2023-02-08T00:00:00"/>
        <d v="2023-02-12T00:00:00"/>
        <d v="2023-02-15T00:00:00"/>
        <d v="2023-02-16T00:00:00"/>
        <d v="2023-02-18T00:00:00"/>
        <d v="2023-02-24T00:00:00"/>
        <d v="2023-03-01T00:00:00"/>
        <d v="2023-03-02T00:00:00"/>
        <d v="2023-03-03T00:00:00"/>
        <d v="2023-03-04T00:00:00"/>
        <d v="2023-03-05T00:00:00"/>
        <d v="2023-03-06T00:00:00"/>
        <d v="2023-03-07T00:00:00"/>
        <d v="2023-03-08T00:00:00"/>
        <d v="2023-03-10T00:00:00"/>
        <d v="2023-03-12T00:00:00"/>
        <d v="2023-03-14T00:00:00"/>
        <d v="2023-03-15T00:00:00"/>
        <d v="2023-03-16T00:00:00"/>
        <d v="2023-03-18T00:00:00"/>
        <d v="2023-03-19T00:00:00"/>
        <d v="2023-03-20T00:00:00"/>
        <d v="2023-03-21T00:00:00"/>
        <d v="2023-03-22T00:00:00"/>
        <d v="2023-03-25T00:00:00"/>
        <d v="2023-03-26T00:00:00"/>
        <d v="2023-03-27T00:00:00"/>
        <d v="2023-03-28T00:00:00"/>
        <d v="2023-04-01T00:00:00"/>
        <d v="2023-04-04T00:00:00"/>
        <d v="2023-04-05T00:00:00"/>
        <d v="2023-04-06T00:00:00"/>
        <d v="2023-04-07T00:00:00"/>
        <d v="2023-04-08T00:00:00"/>
        <d v="2023-04-09T00:00:00"/>
        <d v="2023-04-10T00:00:00"/>
        <d v="2023-04-13T00:00:00"/>
        <d v="2023-04-14T00:00:00"/>
        <d v="2023-04-15T00:00:00"/>
        <d v="2023-04-16T00:00:00"/>
        <d v="2023-04-17T00:00:00"/>
        <d v="2023-04-19T00:00:00"/>
        <d v="2023-04-21T00:00:00"/>
        <d v="2023-04-22T00:00:00"/>
        <d v="2023-04-24T00:00:00"/>
        <d v="2023-04-25T00:00:00"/>
        <d v="2023-04-26T00:00:00"/>
        <d v="2023-04-28T00:00:00"/>
        <d v="2023-04-29T00:00:00"/>
        <d v="2023-05-01T00:00:00"/>
        <d v="2023-05-03T00:00:00"/>
        <d v="2023-05-04T00:00:00"/>
        <d v="2023-05-08T00:00:00"/>
        <d v="2023-05-09T00:00:00"/>
        <d v="2023-05-14T00:00:00"/>
        <d v="2023-05-16T00:00:00"/>
        <d v="2023-05-17T00:00:00"/>
        <d v="2023-05-24T00:00:00"/>
        <d v="2023-05-26T00:00:00"/>
        <d v="2023-05-30T00:00:00"/>
        <d v="2023-05-31T00:00:00"/>
        <d v="2023-06-01T00:00:00"/>
        <d v="2023-06-04T00:00:00"/>
        <d v="2023-06-05T00:00:00"/>
        <d v="2023-06-06T00:00:00"/>
        <d v="2023-06-14T00:00:00"/>
        <d v="2023-06-21T00:00:00"/>
        <d v="2023-06-23T00:00:00"/>
        <d v="2023-06-26T00:00:00"/>
        <d v="2023-06-27T00:00:00"/>
        <d v="2023-07-01T00:00:00"/>
        <d v="2023-07-02T00:00:00"/>
        <d v="2023-07-07T00:00:00"/>
        <d v="2023-07-11T00:00:00"/>
        <d v="2023-07-12T00:00:00"/>
        <d v="2023-07-13T00:00:00"/>
        <d v="2023-07-20T00:00:00"/>
        <d v="2023-07-25T00:00:00"/>
        <d v="2023-07-31T00:00:00"/>
        <d v="2023-08-03T00:00:00"/>
        <d v="2023-08-04T00:00:00"/>
        <d v="2023-08-05T00:00:00"/>
        <d v="2023-08-08T00:00:00"/>
        <d v="2023-08-13T00:00:00"/>
        <d v="2023-08-17T00:00:00"/>
        <d v="2023-08-21T00:00:00"/>
        <d v="2023-08-24T00:00:00"/>
        <d v="2023-08-25T00:00:00"/>
        <d v="2023-08-26T00:00:00"/>
        <d v="2023-08-30T00:00:00"/>
        <d v="2023-08-31T00:00:00"/>
        <d v="2023-09-03T00:00:00"/>
        <d v="2023-09-08T00:00:00"/>
        <d v="2023-09-09T00:00:00"/>
        <d v="2023-09-10T00:00:00"/>
        <d v="2023-09-12T00:00:00"/>
        <d v="2023-09-16T00:00:00"/>
        <d v="2023-09-21T00:00:00"/>
        <d v="2023-09-24T00:00:00"/>
        <d v="2023-09-27T00:00:00"/>
        <d v="2023-09-29T00:00:00"/>
        <d v="2023-10-01T00:00:00"/>
        <d v="2023-10-03T00:00:00"/>
        <d v="2023-10-05T00:00:00"/>
        <d v="2023-10-10T00:00:00"/>
        <d v="2023-10-12T00:00:00"/>
        <d v="2023-10-13T00:00:00"/>
        <d v="2023-10-15T00:00:00"/>
        <d v="2023-10-16T00:00:00"/>
        <d v="2023-10-18T00:00:00"/>
        <d v="2023-10-19T00:00:00"/>
        <d v="2023-10-22T00:00:00"/>
        <d v="2023-10-24T00:00:00"/>
        <d v="2023-10-25T00:00:00"/>
        <d v="2023-10-29T00:00:00"/>
        <d v="2023-11-01T00:00:00"/>
        <d v="2023-11-06T00:00:00"/>
        <d v="2023-11-08T00:00:00"/>
        <d v="2023-11-10T00:00:00"/>
        <d v="2023-11-14T00:00:00"/>
        <d v="2023-11-15T00:00:00"/>
        <d v="2023-11-16T00:00:00"/>
        <d v="2023-11-17T00:00:00"/>
        <d v="2023-11-18T00:00:00"/>
        <d v="2023-11-21T00:00:00"/>
        <d v="2023-11-24T00:00:00"/>
        <d v="2023-11-27T00:00:00"/>
        <d v="2023-11-28T00:00:00"/>
        <d v="2023-12-02T00:00:00"/>
        <d v="2023-12-03T00:00:00"/>
        <d v="2023-12-08T00:00:00"/>
        <d v="2023-12-09T00:00:00"/>
        <d v="2023-12-13T00:00:00"/>
        <d v="2023-12-15T00:00:00"/>
        <d v="2023-12-21T00:00:00"/>
        <d v="2023-12-26T00:00:00"/>
        <d v="2023-12-29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5" level="32767">
      <extLst>
        <ext xmlns:x14="http://schemas.microsoft.com/office/spreadsheetml/2009/9/main" uri="{63CAB8AC-B538-458d-9737-405883B0398D}">
          <x14:cacheField ignore="1"/>
        </ext>
      </extLst>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Barrah" refreshedDate="45944.092919097224" backgroundQuery="1" createdVersion="8" refreshedVersion="8" minRefreshableVersion="3" recordCount="0" supportSubquery="1" supportAdvancedDrill="1" xr:uid="{41DEE67A-374A-44C0-8E29-B7D18E33966F}">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Barrah" refreshedDate="45944.092919444447" backgroundQuery="1" createdVersion="8" refreshedVersion="8" minRefreshableVersion="3" recordCount="0" supportSubquery="1" supportAdvancedDrill="1" xr:uid="{591B0C0F-2A09-48B5-AF70-8E3AC7A2F311}">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Barrah" refreshedDate="45943.149454282408" backgroundQuery="1" createdVersion="3" refreshedVersion="8" minRefreshableVersion="3" recordCount="0" supportSubquery="1" supportAdvancedDrill="1" xr:uid="{AB6985F4-69C9-4DFD-970D-4E5585F087BE}">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6393814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270D9C-08F7-4E7B-927A-96E1FB2C5D6B}" name="daily trend"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I26:J34"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1"/>
        <item x="5"/>
        <item x="6"/>
        <item x="4"/>
        <item x="0"/>
        <item x="2"/>
        <item x="3"/>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2">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eset for Customer Care Call logs.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67DB98-D295-4AB2-9252-AFBF5685BD7B}" name="PivotTable10"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84:G104"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9">
    <i>
      <x/>
    </i>
    <i r="1">
      <x/>
    </i>
    <i r="1">
      <x v="1"/>
    </i>
    <i r="1">
      <x v="2"/>
    </i>
    <i r="1">
      <x v="3"/>
    </i>
    <i>
      <x v="1"/>
    </i>
    <i r="1">
      <x v="4"/>
    </i>
    <i r="1">
      <x v="5"/>
    </i>
    <i r="1">
      <x v="6"/>
    </i>
    <i r="1">
      <x v="7"/>
    </i>
    <i r="1">
      <x v="8"/>
    </i>
    <i r="1">
      <x v="9"/>
    </i>
    <i>
      <x v="2"/>
    </i>
    <i r="1">
      <x v="10"/>
    </i>
    <i r="1">
      <x v="11"/>
    </i>
    <i r="1">
      <x v="12"/>
    </i>
    <i r="1">
      <x v="13"/>
    </i>
    <i r="1">
      <x v="14"/>
    </i>
    <i t="grand">
      <x/>
    </i>
  </rowItems>
  <colFields count="1">
    <field x="0"/>
  </colFields>
  <colItems count="6">
    <i>
      <x/>
    </i>
    <i>
      <x v="1"/>
    </i>
    <i>
      <x v="2"/>
    </i>
    <i>
      <x v="3"/>
    </i>
    <i>
      <x v="4"/>
    </i>
    <i t="grand">
      <x/>
    </i>
  </colItems>
  <dataFields count="1">
    <dataField fld="3"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F20C4C-90AA-4311-BF57-00258F3750B9}" name="Rep Satisfaction"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72:B78" firstHeaderRow="1" firstDataRow="1" firstDataCol="1"/>
  <pivotFields count="3">
    <pivotField dataField="1" subtotalTop="0" showAll="0" defaultSubtotal="0"/>
    <pivotField axis="axisRow" allDrilled="1" subtotalTop="0" showAll="0" sortType="ascending"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1">
    <chartFormat chart="12"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6EB520C-7A49-4192-9F6C-F4295FA2DA01}" name="monthly trend"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23:C36"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4">
    <chartFormat chart="11" format="3"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 chart="12" format="6"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eset for Customer Care Call logs.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9FCFBD-C043-45F1-9CA7-E070544A427E}" name="gender pivot table"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62:D67"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3">
    <i>
      <x/>
    </i>
    <i>
      <x v="1"/>
    </i>
    <i t="grand">
      <x/>
    </i>
  </colItems>
  <dataFields count="1">
    <dataField fld="2" subtotal="count" baseField="0" baseItem="0"/>
  </dataFields>
  <chartFormats count="2">
    <chartFormat chart="6" format="4" series="1">
      <pivotArea type="data" outline="0" fieldPosition="0">
        <references count="2">
          <reference field="4294967294" count="1" selected="0">
            <x v="0"/>
          </reference>
          <reference field="0" count="1" selected="0">
            <x v="0"/>
          </reference>
        </references>
      </pivotArea>
    </chartFormat>
    <chartFormat chart="6" format="5" series="1">
      <pivotArea type="data" outline="0" fieldPosition="0">
        <references count="2">
          <reference field="4294967294" count="1" selected="0">
            <x v="0"/>
          </reference>
          <reference field="0"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D99D639-810C-46D3-9086-8CA5FD2839B0}" name="Rep Pivot"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1:E1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eset for Customer Care Call logs.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4FA5A01-9565-4D17-944E-BC2597204E4E}" name="Summary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eset for Customer Care Call logs.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E7278B-F3F1-42F2-9E12-99636E43A394}" name="Selected rep table"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56:A58"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2">
    <i>
      <x/>
    </i>
    <i t="grand">
      <x/>
    </i>
  </rowItems>
  <formats count="1">
    <format dxfId="16">
      <pivotArea dataOnly="0" labelOnly="1" fieldPosition="0">
        <references count="1">
          <reference field="0" count="0"/>
        </references>
      </pivotArea>
    </format>
  </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D157FE7-CAF6-49A8-A7B6-A7DFC0DAC674}" name="reps pivot table"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6:C52"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6A61084D-865E-4AC3-9129-F924EB9C3B78}" sourceName="[calls].[Representative]">
  <pivotTables>
    <pivotTable tabId="6" name="Selected rep table"/>
    <pivotTable tabId="6" name="daily trend"/>
    <pivotTable tabId="6" name="monthly trend"/>
    <pivotTable tabId="6" name="Rep Pivot"/>
    <pivotTable tabId="6" name="Rep Satisfaction"/>
  </pivotTables>
  <data>
    <olap pivotCacheId="1563938141">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B4A84357-D903-423F-B91B-A1593F7F0E55}" cache="Slicer_Representative" caption="Representative" level="1" style="SlicerStyleDark6"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5"/>
    <tableColumn id="5" xr3:uid="{5A35565E-8707-4DED-AD15-A0669D67B382}" name="Date of Call" dataDxfId="14"/>
    <tableColumn id="6" xr3:uid="{F2E4F158-B41F-47BC-8DF8-DFCADFEE4E40}" name="Purchase Amount"/>
    <tableColumn id="7" xr3:uid="{04B291B5-47BD-4F78-8FD8-D1551CCA6BD9}" name="Satisfaction Rating"/>
    <tableColumn id="8" xr3:uid="{6E4123C0-0B17-43B8-A142-A1E540CE974C}" name="FY" dataDxfId="13">
      <calculatedColumnFormula>IF(MONTH(calls[[#This Row],[Date of Call]])&lt;=6, YEAR(calls[[#This Row],[Date of Call]]), YEAR(calls[[#This Row],[Date of Call]])+1)</calculatedColumnFormula>
    </tableColumn>
    <tableColumn id="9" xr3:uid="{199FA271-5E9B-46CE-9BC6-2801F92CD17E}" name="Day of week" dataDxfId="12">
      <calculatedColumnFormula>TEXT(calls[[#This Row],[Date of Call]],"DDDD")</calculatedColumnFormula>
    </tableColumn>
    <tableColumn id="10" xr3:uid="{328CDB09-95B8-4D5E-9ED9-EF0D363735A1}" name="Duration Bucket" dataDxfId="11">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0">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9" headerRowBorderDxfId="8" tableBorderDxfId="7" totalsRowBorderDxfId="6">
  <autoFilter ref="Q3:T18" xr:uid="{27158F51-A707-4171-8A04-81FB0AABCBA5}"/>
  <tableColumns count="4">
    <tableColumn id="1" xr3:uid="{02688061-6A8C-4E23-B7FF-D00CD8B58CAC}" name="Customer ID" dataDxfId="5"/>
    <tableColumn id="2" xr3:uid="{771678B6-DB44-426B-9874-B4E421A440D5}" name="Gedner" dataDxfId="4"/>
    <tableColumn id="3" xr3:uid="{B0D41C62-587E-494D-B49A-603F2C05F8D3}" name="Age" dataDxfId="3"/>
    <tableColumn id="4" xr3:uid="{663F92D6-FE31-4D81-9E01-8D066DDC8A88}" name="City" dataDxfId="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40" zoomScale="115" zoomScaleNormal="115" workbookViewId="0">
      <selection activeCell="D10" sqref="D10"/>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296875" customWidth="1"/>
    <col min="8" max="8" width="18.3984375" customWidth="1"/>
    <col min="9" max="9" width="17.296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E7"/>
  <sheetViews>
    <sheetView zoomScale="115" zoomScaleNormal="115" workbookViewId="0">
      <selection activeCell="I11" sqref="I11"/>
    </sheetView>
  </sheetViews>
  <sheetFormatPr defaultRowHeight="14.4" x14ac:dyDescent="0.3"/>
  <cols>
    <col min="5" max="5" width="10.8984375" customWidth="1"/>
    <col min="6" max="6" width="9.8984375" customWidth="1"/>
  </cols>
  <sheetData>
    <row r="2" spans="5:5" x14ac:dyDescent="0.3">
      <c r="E2" t="s">
        <v>1040</v>
      </c>
    </row>
    <row r="3" spans="5:5" ht="25.5" customHeight="1" x14ac:dyDescent="0.3">
      <c r="E3" t="s">
        <v>11</v>
      </c>
    </row>
    <row r="4" spans="5:5" ht="25.5" customHeight="1" x14ac:dyDescent="0.3">
      <c r="E4" t="s">
        <v>9</v>
      </c>
    </row>
    <row r="5" spans="5:5" ht="25.5" customHeight="1" x14ac:dyDescent="0.3">
      <c r="E5" t="s">
        <v>6</v>
      </c>
    </row>
    <row r="6" spans="5:5" ht="25.5" customHeight="1" x14ac:dyDescent="0.3">
      <c r="E6" t="s">
        <v>13</v>
      </c>
    </row>
    <row r="7" spans="5:5" ht="25.5" customHeight="1" x14ac:dyDescent="0.3">
      <c r="E7" t="s">
        <v>10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89C5A-DF41-4197-9AF5-5BFD62CDDC55}">
  <dimension ref="A3:J104"/>
  <sheetViews>
    <sheetView workbookViewId="0">
      <selection activeCell="B12" sqref="B12"/>
    </sheetView>
  </sheetViews>
  <sheetFormatPr defaultRowHeight="14.4" x14ac:dyDescent="0.3"/>
  <cols>
    <col min="1" max="1" width="12.19921875" bestFit="1" customWidth="1"/>
    <col min="2" max="2" width="9.5" bestFit="1" customWidth="1"/>
    <col min="3" max="3" width="12.3984375" bestFit="1" customWidth="1"/>
    <col min="4" max="4" width="9.296875" bestFit="1" customWidth="1"/>
    <col min="5" max="5" width="7.296875" bestFit="1" customWidth="1"/>
    <col min="6" max="6" width="7.3984375" bestFit="1" customWidth="1"/>
    <col min="7" max="7" width="10.3984375" bestFit="1" customWidth="1"/>
    <col min="8" max="8" width="15.19921875" bestFit="1" customWidth="1"/>
    <col min="9" max="9" width="12.19921875" bestFit="1" customWidth="1"/>
    <col min="10" max="10" width="9.5" bestFit="1" customWidth="1"/>
    <col min="11" max="11" width="10.5" bestFit="1" customWidth="1"/>
    <col min="12" max="60" width="15.19921875" bestFit="1" customWidth="1"/>
    <col min="61" max="61" width="14" bestFit="1" customWidth="1"/>
    <col min="62" max="62" width="16.09765625" bestFit="1" customWidth="1"/>
    <col min="63" max="63" width="16.8984375" bestFit="1" customWidth="1"/>
    <col min="64" max="64" width="13.796875" bestFit="1" customWidth="1"/>
    <col min="65" max="66" width="11.69921875" bestFit="1" customWidth="1"/>
    <col min="67" max="1650" width="15.19921875" bestFit="1" customWidth="1"/>
    <col min="1651" max="1651" width="14" bestFit="1" customWidth="1"/>
    <col min="1652" max="1652" width="16.09765625" bestFit="1" customWidth="1"/>
    <col min="1653" max="1653" width="16.8984375" bestFit="1" customWidth="1"/>
    <col min="1654" max="1654" width="13.796875" bestFit="1" customWidth="1"/>
    <col min="1655" max="1655" width="11.69921875" bestFit="1" customWidth="1"/>
  </cols>
  <sheetData>
    <row r="3" spans="1:5" x14ac:dyDescent="0.3">
      <c r="A3" t="s">
        <v>1041</v>
      </c>
      <c r="B3" t="s">
        <v>1042</v>
      </c>
      <c r="C3" t="s">
        <v>1043</v>
      </c>
      <c r="D3" t="s">
        <v>1044</v>
      </c>
      <c r="E3" t="s">
        <v>1045</v>
      </c>
    </row>
    <row r="4" spans="1:5" x14ac:dyDescent="0.3">
      <c r="A4" s="21">
        <v>1000</v>
      </c>
      <c r="B4" s="22">
        <v>96623</v>
      </c>
      <c r="C4" s="21">
        <v>89850</v>
      </c>
      <c r="D4" s="23">
        <v>3.8854000000000033</v>
      </c>
      <c r="E4" s="21">
        <v>307</v>
      </c>
    </row>
    <row r="10" spans="1:5" ht="27.6" customHeight="1" x14ac:dyDescent="0.3"/>
    <row r="11" spans="1:5" x14ac:dyDescent="0.3">
      <c r="A11" t="s">
        <v>1041</v>
      </c>
      <c r="B11" t="s">
        <v>1042</v>
      </c>
      <c r="C11" t="s">
        <v>1043</v>
      </c>
      <c r="D11" t="s">
        <v>1044</v>
      </c>
      <c r="E11" t="s">
        <v>1045</v>
      </c>
    </row>
    <row r="12" spans="1:5" x14ac:dyDescent="0.3">
      <c r="A12" s="21">
        <v>218</v>
      </c>
      <c r="B12" s="22">
        <v>20581</v>
      </c>
      <c r="C12" s="21">
        <v>19300</v>
      </c>
      <c r="D12" s="23">
        <v>3.8706422018348627</v>
      </c>
      <c r="E12" s="21">
        <v>74</v>
      </c>
    </row>
    <row r="23" spans="1:10" x14ac:dyDescent="0.3">
      <c r="A23" s="24" t="s">
        <v>1046</v>
      </c>
      <c r="B23" t="s">
        <v>1041</v>
      </c>
      <c r="C23" t="s">
        <v>1061</v>
      </c>
    </row>
    <row r="24" spans="1:10" x14ac:dyDescent="0.3">
      <c r="A24" s="25" t="s">
        <v>1049</v>
      </c>
      <c r="B24" s="21">
        <v>19</v>
      </c>
      <c r="C24" s="21">
        <v>19</v>
      </c>
    </row>
    <row r="25" spans="1:10" x14ac:dyDescent="0.3">
      <c r="A25" s="25" t="s">
        <v>1050</v>
      </c>
      <c r="B25" s="21">
        <v>10</v>
      </c>
      <c r="C25" s="21">
        <v>10</v>
      </c>
    </row>
    <row r="26" spans="1:10" x14ac:dyDescent="0.3">
      <c r="A26" s="25" t="s">
        <v>1051</v>
      </c>
      <c r="B26" s="21">
        <v>40</v>
      </c>
      <c r="C26" s="21">
        <v>40</v>
      </c>
      <c r="I26" s="24" t="s">
        <v>1046</v>
      </c>
      <c r="J26" t="s">
        <v>1041</v>
      </c>
    </row>
    <row r="27" spans="1:10" x14ac:dyDescent="0.3">
      <c r="A27" s="25" t="s">
        <v>1052</v>
      </c>
      <c r="B27" s="21">
        <v>40</v>
      </c>
      <c r="C27" s="21">
        <v>40</v>
      </c>
      <c r="I27" s="25" t="s">
        <v>1063</v>
      </c>
      <c r="J27" s="21">
        <v>24</v>
      </c>
    </row>
    <row r="28" spans="1:10" x14ac:dyDescent="0.3">
      <c r="A28" s="25" t="s">
        <v>1053</v>
      </c>
      <c r="B28" s="21">
        <v>13</v>
      </c>
      <c r="C28" s="21">
        <v>13</v>
      </c>
      <c r="I28" s="25" t="s">
        <v>1067</v>
      </c>
      <c r="J28" s="21">
        <v>44</v>
      </c>
    </row>
    <row r="29" spans="1:10" x14ac:dyDescent="0.3">
      <c r="A29" s="25" t="s">
        <v>1054</v>
      </c>
      <c r="B29" s="21">
        <v>12</v>
      </c>
      <c r="C29" s="21">
        <v>12</v>
      </c>
      <c r="I29" s="25" t="s">
        <v>1068</v>
      </c>
      <c r="J29" s="21">
        <v>36</v>
      </c>
    </row>
    <row r="30" spans="1:10" x14ac:dyDescent="0.3">
      <c r="A30" s="25" t="s">
        <v>1055</v>
      </c>
      <c r="B30" s="21">
        <v>9</v>
      </c>
      <c r="C30" s="21">
        <v>9</v>
      </c>
      <c r="I30" s="25" t="s">
        <v>1066</v>
      </c>
      <c r="J30" s="21">
        <v>33</v>
      </c>
    </row>
    <row r="31" spans="1:10" x14ac:dyDescent="0.3">
      <c r="A31" s="25" t="s">
        <v>1056</v>
      </c>
      <c r="B31" s="21">
        <v>13</v>
      </c>
      <c r="C31" s="21">
        <v>13</v>
      </c>
      <c r="I31" s="25" t="s">
        <v>1062</v>
      </c>
      <c r="J31" s="21">
        <v>29</v>
      </c>
    </row>
    <row r="32" spans="1:10" x14ac:dyDescent="0.3">
      <c r="A32" s="25" t="s">
        <v>1057</v>
      </c>
      <c r="B32" s="21">
        <v>18</v>
      </c>
      <c r="C32" s="21">
        <v>18</v>
      </c>
      <c r="I32" s="25" t="s">
        <v>1064</v>
      </c>
      <c r="J32" s="21">
        <v>24</v>
      </c>
    </row>
    <row r="33" spans="1:10" x14ac:dyDescent="0.3">
      <c r="A33" s="25" t="s">
        <v>1058</v>
      </c>
      <c r="B33" s="21">
        <v>21</v>
      </c>
      <c r="C33" s="21">
        <v>21</v>
      </c>
      <c r="I33" s="25" t="s">
        <v>1065</v>
      </c>
      <c r="J33" s="21">
        <v>28</v>
      </c>
    </row>
    <row r="34" spans="1:10" x14ac:dyDescent="0.3">
      <c r="A34" s="25" t="s">
        <v>1059</v>
      </c>
      <c r="B34" s="21">
        <v>14</v>
      </c>
      <c r="C34" s="21">
        <v>14</v>
      </c>
      <c r="I34" s="25" t="s">
        <v>1047</v>
      </c>
      <c r="J34" s="21">
        <v>218</v>
      </c>
    </row>
    <row r="35" spans="1:10" x14ac:dyDescent="0.3">
      <c r="A35" s="25" t="s">
        <v>1060</v>
      </c>
      <c r="B35" s="21">
        <v>9</v>
      </c>
      <c r="C35" s="21">
        <v>9</v>
      </c>
    </row>
    <row r="36" spans="1:10" x14ac:dyDescent="0.3">
      <c r="A36" s="25" t="s">
        <v>1047</v>
      </c>
      <c r="B36" s="21">
        <v>218</v>
      </c>
      <c r="C36" s="21">
        <v>218</v>
      </c>
    </row>
    <row r="43" spans="1:10" x14ac:dyDescent="0.3">
      <c r="I43" t="s">
        <v>1075</v>
      </c>
      <c r="J43" t="str">
        <f>A57</f>
        <v>R02</v>
      </c>
    </row>
    <row r="44" spans="1:10" x14ac:dyDescent="0.3">
      <c r="G44" t="s">
        <v>1069</v>
      </c>
    </row>
    <row r="46" spans="1:10" x14ac:dyDescent="0.3">
      <c r="A46" s="24" t="s">
        <v>1046</v>
      </c>
      <c r="B46" t="s">
        <v>1041</v>
      </c>
      <c r="C46" t="s">
        <v>1042</v>
      </c>
      <c r="F46" t="s">
        <v>1070</v>
      </c>
      <c r="G46" t="s">
        <v>1071</v>
      </c>
      <c r="H46" t="s">
        <v>1072</v>
      </c>
      <c r="I46" t="s">
        <v>1073</v>
      </c>
      <c r="J46" t="s">
        <v>1074</v>
      </c>
    </row>
    <row r="47" spans="1:10" x14ac:dyDescent="0.3">
      <c r="A47" s="25" t="s">
        <v>11</v>
      </c>
      <c r="B47" s="21">
        <v>189</v>
      </c>
      <c r="C47" s="22">
        <v>18415</v>
      </c>
      <c r="F47" t="str" cm="1">
        <f t="array" ref="F47:H51">A47:C51</f>
        <v>R01</v>
      </c>
      <c r="G47">
        <v>189</v>
      </c>
      <c r="H47" s="26">
        <v>18415</v>
      </c>
      <c r="I47" t="e">
        <f>IF(F47 = $J$43,G47,NA())</f>
        <v>#N/A</v>
      </c>
      <c r="J47" t="e">
        <f>IF(F47=$J$43, H47, NA())</f>
        <v>#N/A</v>
      </c>
    </row>
    <row r="48" spans="1:10" x14ac:dyDescent="0.3">
      <c r="A48" s="25" t="s">
        <v>9</v>
      </c>
      <c r="B48" s="21">
        <v>218</v>
      </c>
      <c r="C48" s="22">
        <v>20581</v>
      </c>
      <c r="F48" t="str">
        <v>R02</v>
      </c>
      <c r="G48">
        <v>218</v>
      </c>
      <c r="H48" s="26">
        <v>20581</v>
      </c>
      <c r="I48">
        <f t="shared" ref="I48:I51" si="0">IF(F48 = $J$43,G48,NA())</f>
        <v>218</v>
      </c>
      <c r="J48">
        <f t="shared" ref="J48:J51" si="1">IF(F48=$J$43, H48, NA())</f>
        <v>20581</v>
      </c>
    </row>
    <row r="49" spans="1:10" x14ac:dyDescent="0.3">
      <c r="A49" s="25" t="s">
        <v>6</v>
      </c>
      <c r="B49" s="21">
        <v>207</v>
      </c>
      <c r="C49" s="22">
        <v>20872</v>
      </c>
      <c r="F49" t="str">
        <v>R03</v>
      </c>
      <c r="G49">
        <v>207</v>
      </c>
      <c r="H49" s="26">
        <v>20872</v>
      </c>
      <c r="I49" t="e">
        <f t="shared" si="0"/>
        <v>#N/A</v>
      </c>
      <c r="J49" t="e">
        <f t="shared" si="1"/>
        <v>#N/A</v>
      </c>
    </row>
    <row r="50" spans="1:10" x14ac:dyDescent="0.3">
      <c r="A50" s="25" t="s">
        <v>13</v>
      </c>
      <c r="B50" s="21">
        <v>186</v>
      </c>
      <c r="C50" s="22">
        <v>16651</v>
      </c>
      <c r="F50" t="str">
        <v>R04</v>
      </c>
      <c r="G50">
        <v>186</v>
      </c>
      <c r="H50" s="26">
        <v>16651</v>
      </c>
      <c r="I50" t="e">
        <f t="shared" si="0"/>
        <v>#N/A</v>
      </c>
      <c r="J50" t="e">
        <f t="shared" si="1"/>
        <v>#N/A</v>
      </c>
    </row>
    <row r="51" spans="1:10" x14ac:dyDescent="0.3">
      <c r="A51" s="25" t="s">
        <v>10</v>
      </c>
      <c r="B51" s="21">
        <v>200</v>
      </c>
      <c r="C51" s="22">
        <v>20104</v>
      </c>
      <c r="F51" t="str">
        <v>R05</v>
      </c>
      <c r="G51">
        <v>200</v>
      </c>
      <c r="H51" s="26">
        <v>20104</v>
      </c>
      <c r="I51" t="e">
        <f t="shared" si="0"/>
        <v>#N/A</v>
      </c>
      <c r="J51" t="e">
        <f t="shared" si="1"/>
        <v>#N/A</v>
      </c>
    </row>
    <row r="52" spans="1:10" x14ac:dyDescent="0.3">
      <c r="A52" s="25" t="s">
        <v>1047</v>
      </c>
      <c r="B52" s="21">
        <v>1000</v>
      </c>
      <c r="C52" s="22">
        <v>96623</v>
      </c>
    </row>
    <row r="56" spans="1:10" x14ac:dyDescent="0.3">
      <c r="A56" s="24" t="s">
        <v>1046</v>
      </c>
    </row>
    <row r="57" spans="1:10" x14ac:dyDescent="0.3">
      <c r="A57" s="27" t="s">
        <v>9</v>
      </c>
    </row>
    <row r="58" spans="1:10" x14ac:dyDescent="0.3">
      <c r="A58" s="25" t="s">
        <v>1047</v>
      </c>
    </row>
    <row r="62" spans="1:10" x14ac:dyDescent="0.3">
      <c r="A62" s="24" t="s">
        <v>1041</v>
      </c>
      <c r="B62" s="24" t="s">
        <v>1048</v>
      </c>
    </row>
    <row r="63" spans="1:10" x14ac:dyDescent="0.3">
      <c r="A63" s="24" t="s">
        <v>1046</v>
      </c>
      <c r="B63" t="s">
        <v>999</v>
      </c>
      <c r="C63" t="s">
        <v>998</v>
      </c>
      <c r="D63" t="s">
        <v>1047</v>
      </c>
    </row>
    <row r="64" spans="1:10" x14ac:dyDescent="0.3">
      <c r="A64" s="25" t="s">
        <v>1002</v>
      </c>
      <c r="B64" s="21">
        <v>144</v>
      </c>
      <c r="C64" s="21">
        <v>132</v>
      </c>
      <c r="D64" s="21">
        <v>276</v>
      </c>
    </row>
    <row r="65" spans="1:4" x14ac:dyDescent="0.3">
      <c r="A65" s="25" t="s">
        <v>1001</v>
      </c>
      <c r="B65" s="21">
        <v>326</v>
      </c>
      <c r="C65" s="21">
        <v>63</v>
      </c>
      <c r="D65" s="21">
        <v>389</v>
      </c>
    </row>
    <row r="66" spans="1:4" x14ac:dyDescent="0.3">
      <c r="A66" s="25" t="s">
        <v>1000</v>
      </c>
      <c r="B66" s="21">
        <v>129</v>
      </c>
      <c r="C66" s="21">
        <v>206</v>
      </c>
      <c r="D66" s="21">
        <v>335</v>
      </c>
    </row>
    <row r="67" spans="1:4" x14ac:dyDescent="0.3">
      <c r="A67" s="25" t="s">
        <v>1047</v>
      </c>
      <c r="B67" s="21">
        <v>599</v>
      </c>
      <c r="C67" s="21">
        <v>401</v>
      </c>
      <c r="D67" s="21">
        <v>1000</v>
      </c>
    </row>
    <row r="71" spans="1:4" ht="1.8" customHeight="1" x14ac:dyDescent="0.3"/>
    <row r="72" spans="1:4" x14ac:dyDescent="0.3">
      <c r="A72" s="24" t="s">
        <v>1046</v>
      </c>
      <c r="B72" t="s">
        <v>1041</v>
      </c>
    </row>
    <row r="73" spans="1:4" x14ac:dyDescent="0.3">
      <c r="A73" s="25">
        <v>1</v>
      </c>
      <c r="B73" s="21">
        <v>3</v>
      </c>
    </row>
    <row r="74" spans="1:4" x14ac:dyDescent="0.3">
      <c r="A74" s="25">
        <v>2</v>
      </c>
      <c r="B74" s="21">
        <v>19</v>
      </c>
    </row>
    <row r="75" spans="1:4" x14ac:dyDescent="0.3">
      <c r="A75" s="25">
        <v>3</v>
      </c>
      <c r="B75" s="21">
        <v>35</v>
      </c>
    </row>
    <row r="76" spans="1:4" x14ac:dyDescent="0.3">
      <c r="A76" s="25">
        <v>4</v>
      </c>
      <c r="B76" s="21">
        <v>87</v>
      </c>
    </row>
    <row r="77" spans="1:4" x14ac:dyDescent="0.3">
      <c r="A77" s="25">
        <v>5</v>
      </c>
      <c r="B77" s="21">
        <v>74</v>
      </c>
    </row>
    <row r="78" spans="1:4" x14ac:dyDescent="0.3">
      <c r="A78" s="25" t="s">
        <v>1047</v>
      </c>
      <c r="B78" s="21">
        <v>218</v>
      </c>
    </row>
    <row r="84" spans="1:7" x14ac:dyDescent="0.3">
      <c r="A84" s="24" t="s">
        <v>1042</v>
      </c>
      <c r="B84" s="24" t="s">
        <v>1048</v>
      </c>
    </row>
    <row r="85" spans="1:7" x14ac:dyDescent="0.3">
      <c r="A85" s="24" t="s">
        <v>1046</v>
      </c>
      <c r="B85" t="s">
        <v>11</v>
      </c>
      <c r="C85" t="s">
        <v>9</v>
      </c>
      <c r="D85" t="s">
        <v>6</v>
      </c>
      <c r="E85" t="s">
        <v>13</v>
      </c>
      <c r="F85" t="s">
        <v>10</v>
      </c>
      <c r="G85" t="s">
        <v>1047</v>
      </c>
    </row>
    <row r="86" spans="1:7" x14ac:dyDescent="0.3">
      <c r="A86" s="25" t="s">
        <v>1002</v>
      </c>
    </row>
    <row r="87" spans="1:7" x14ac:dyDescent="0.3">
      <c r="A87" s="28" t="s">
        <v>20</v>
      </c>
      <c r="B87" s="22">
        <v>891</v>
      </c>
      <c r="C87" s="22">
        <v>1332</v>
      </c>
      <c r="D87" s="22">
        <v>1282</v>
      </c>
      <c r="E87" s="22">
        <v>739</v>
      </c>
      <c r="F87" s="22">
        <v>560</v>
      </c>
      <c r="G87" s="22">
        <v>4804</v>
      </c>
    </row>
    <row r="88" spans="1:7" x14ac:dyDescent="0.3">
      <c r="A88" s="28" t="s">
        <v>12</v>
      </c>
      <c r="B88" s="22">
        <v>1991</v>
      </c>
      <c r="C88" s="22">
        <v>1886</v>
      </c>
      <c r="D88" s="22">
        <v>1206</v>
      </c>
      <c r="E88" s="22">
        <v>884</v>
      </c>
      <c r="F88" s="22">
        <v>1722</v>
      </c>
      <c r="G88" s="22">
        <v>7689</v>
      </c>
    </row>
    <row r="89" spans="1:7" x14ac:dyDescent="0.3">
      <c r="A89" s="28" t="s">
        <v>8</v>
      </c>
      <c r="B89" s="22">
        <v>1163</v>
      </c>
      <c r="C89" s="22">
        <v>1180</v>
      </c>
      <c r="D89" s="22">
        <v>1616</v>
      </c>
      <c r="E89" s="22">
        <v>1043</v>
      </c>
      <c r="F89" s="22">
        <v>1747</v>
      </c>
      <c r="G89" s="22">
        <v>6749</v>
      </c>
    </row>
    <row r="90" spans="1:7" x14ac:dyDescent="0.3">
      <c r="A90" s="28" t="s">
        <v>16</v>
      </c>
      <c r="B90" s="22">
        <v>1438</v>
      </c>
      <c r="C90" s="22">
        <v>1616</v>
      </c>
      <c r="D90" s="22">
        <v>866</v>
      </c>
      <c r="E90" s="22">
        <v>829</v>
      </c>
      <c r="F90" s="22">
        <v>2070</v>
      </c>
      <c r="G90" s="22">
        <v>6819</v>
      </c>
    </row>
    <row r="91" spans="1:7" x14ac:dyDescent="0.3">
      <c r="A91" s="25" t="s">
        <v>1001</v>
      </c>
    </row>
    <row r="92" spans="1:7" x14ac:dyDescent="0.3">
      <c r="A92" s="28" t="s">
        <v>24</v>
      </c>
      <c r="B92" s="22">
        <v>1233</v>
      </c>
      <c r="C92" s="22">
        <v>223</v>
      </c>
      <c r="D92" s="22">
        <v>1680</v>
      </c>
      <c r="E92" s="22">
        <v>990</v>
      </c>
      <c r="F92" s="22">
        <v>1508</v>
      </c>
      <c r="G92" s="22">
        <v>5634</v>
      </c>
    </row>
    <row r="93" spans="1:7" x14ac:dyDescent="0.3">
      <c r="A93" s="28" t="s">
        <v>15</v>
      </c>
      <c r="B93" s="22">
        <v>1598</v>
      </c>
      <c r="C93" s="22">
        <v>1907</v>
      </c>
      <c r="D93" s="22">
        <v>869</v>
      </c>
      <c r="E93" s="22">
        <v>1426</v>
      </c>
      <c r="F93" s="22">
        <v>1416</v>
      </c>
      <c r="G93" s="22">
        <v>7216</v>
      </c>
    </row>
    <row r="94" spans="1:7" x14ac:dyDescent="0.3">
      <c r="A94" s="28" t="s">
        <v>5</v>
      </c>
      <c r="B94" s="22">
        <v>900</v>
      </c>
      <c r="C94" s="22">
        <v>1016</v>
      </c>
      <c r="D94" s="22">
        <v>960</v>
      </c>
      <c r="E94" s="22">
        <v>940</v>
      </c>
      <c r="F94" s="22">
        <v>1193</v>
      </c>
      <c r="G94" s="22">
        <v>5009</v>
      </c>
    </row>
    <row r="95" spans="1:7" x14ac:dyDescent="0.3">
      <c r="A95" s="28" t="s">
        <v>18</v>
      </c>
      <c r="B95" s="22">
        <v>900</v>
      </c>
      <c r="C95" s="22">
        <v>1470</v>
      </c>
      <c r="D95" s="22">
        <v>1617</v>
      </c>
      <c r="E95" s="22">
        <v>1314</v>
      </c>
      <c r="F95" s="22">
        <v>941</v>
      </c>
      <c r="G95" s="22">
        <v>6242</v>
      </c>
    </row>
    <row r="96" spans="1:7" x14ac:dyDescent="0.3">
      <c r="A96" s="28" t="s">
        <v>14</v>
      </c>
      <c r="B96" s="22">
        <v>1255</v>
      </c>
      <c r="C96" s="22">
        <v>516</v>
      </c>
      <c r="D96" s="22">
        <v>1874</v>
      </c>
      <c r="E96" s="22">
        <v>1863</v>
      </c>
      <c r="F96" s="22">
        <v>1722</v>
      </c>
      <c r="G96" s="22">
        <v>7230</v>
      </c>
    </row>
    <row r="97" spans="1:7" x14ac:dyDescent="0.3">
      <c r="A97" s="28" t="s">
        <v>19</v>
      </c>
      <c r="B97" s="22">
        <v>1138</v>
      </c>
      <c r="C97" s="22">
        <v>1898</v>
      </c>
      <c r="D97" s="22">
        <v>1482</v>
      </c>
      <c r="E97" s="22">
        <v>846</v>
      </c>
      <c r="F97" s="22">
        <v>1154</v>
      </c>
      <c r="G97" s="22">
        <v>6518</v>
      </c>
    </row>
    <row r="98" spans="1:7" x14ac:dyDescent="0.3">
      <c r="A98" s="25" t="s">
        <v>1000</v>
      </c>
    </row>
    <row r="99" spans="1:7" x14ac:dyDescent="0.3">
      <c r="A99" s="28" t="s">
        <v>17</v>
      </c>
      <c r="B99" s="22">
        <v>1655</v>
      </c>
      <c r="C99" s="22">
        <v>805</v>
      </c>
      <c r="D99" s="22">
        <v>2263</v>
      </c>
      <c r="E99" s="22">
        <v>987</v>
      </c>
      <c r="F99" s="22">
        <v>1075</v>
      </c>
      <c r="G99" s="22">
        <v>6785</v>
      </c>
    </row>
    <row r="100" spans="1:7" x14ac:dyDescent="0.3">
      <c r="A100" s="28" t="s">
        <v>23</v>
      </c>
      <c r="B100" s="22">
        <v>1104</v>
      </c>
      <c r="C100" s="22">
        <v>2280</v>
      </c>
      <c r="D100" s="22">
        <v>1445</v>
      </c>
      <c r="E100" s="22">
        <v>1722</v>
      </c>
      <c r="F100" s="22">
        <v>1196</v>
      </c>
      <c r="G100" s="22">
        <v>7747</v>
      </c>
    </row>
    <row r="101" spans="1:7" x14ac:dyDescent="0.3">
      <c r="A101" s="28" t="s">
        <v>7</v>
      </c>
      <c r="B101" s="22">
        <v>372</v>
      </c>
      <c r="C101" s="22">
        <v>1818</v>
      </c>
      <c r="D101" s="22">
        <v>1346</v>
      </c>
      <c r="E101" s="22">
        <v>1156</v>
      </c>
      <c r="F101" s="22">
        <v>1484</v>
      </c>
      <c r="G101" s="22">
        <v>6176</v>
      </c>
    </row>
    <row r="102" spans="1:7" x14ac:dyDescent="0.3">
      <c r="A102" s="28" t="s">
        <v>22</v>
      </c>
      <c r="B102" s="22">
        <v>1415</v>
      </c>
      <c r="C102" s="22">
        <v>1271</v>
      </c>
      <c r="D102" s="22">
        <v>1214</v>
      </c>
      <c r="E102" s="22">
        <v>1135</v>
      </c>
      <c r="F102" s="22">
        <v>1566</v>
      </c>
      <c r="G102" s="22">
        <v>6601</v>
      </c>
    </row>
    <row r="103" spans="1:7" x14ac:dyDescent="0.3">
      <c r="A103" s="28" t="s">
        <v>21</v>
      </c>
      <c r="B103" s="22">
        <v>1362</v>
      </c>
      <c r="C103" s="22">
        <v>1363</v>
      </c>
      <c r="D103" s="22">
        <v>1152</v>
      </c>
      <c r="E103" s="22">
        <v>777</v>
      </c>
      <c r="F103" s="22">
        <v>750</v>
      </c>
      <c r="G103" s="22">
        <v>5404</v>
      </c>
    </row>
    <row r="104" spans="1:7" x14ac:dyDescent="0.3">
      <c r="A104" s="25" t="s">
        <v>1047</v>
      </c>
      <c r="B104" s="22">
        <v>18415</v>
      </c>
      <c r="C104" s="22">
        <v>20581</v>
      </c>
      <c r="D104" s="22">
        <v>20872</v>
      </c>
      <c r="E104" s="22">
        <v>16651</v>
      </c>
      <c r="F104" s="22">
        <v>20104</v>
      </c>
      <c r="G104" s="22">
        <v>96623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73F45-2788-4335-B5BA-2DCAF5BB747B}">
  <dimension ref="A1:Z46"/>
  <sheetViews>
    <sheetView showGridLines="0" tabSelected="1" workbookViewId="0">
      <selection activeCell="V44" sqref="V44"/>
    </sheetView>
  </sheetViews>
  <sheetFormatPr defaultRowHeight="14.4" x14ac:dyDescent="0.3"/>
  <cols>
    <col min="1" max="2" width="2" customWidth="1"/>
    <col min="14" max="14" width="11.296875" customWidth="1"/>
    <col min="19" max="20" width="8.796875" customWidth="1"/>
  </cols>
  <sheetData>
    <row r="1" spans="1:26" x14ac:dyDescent="0.3">
      <c r="A1" s="29"/>
      <c r="B1" s="29"/>
      <c r="C1" s="29"/>
      <c r="D1" s="29"/>
      <c r="E1" s="29"/>
      <c r="F1" s="29"/>
      <c r="G1" s="29"/>
      <c r="H1" s="29"/>
      <c r="I1" s="29"/>
      <c r="J1" s="29"/>
      <c r="K1" s="29"/>
      <c r="L1" s="29"/>
      <c r="M1" s="20"/>
      <c r="N1" s="20"/>
      <c r="O1" s="20"/>
      <c r="P1" s="20"/>
      <c r="Q1" s="20"/>
      <c r="R1" s="20"/>
      <c r="S1" s="20"/>
      <c r="T1" s="20"/>
      <c r="U1" s="20"/>
      <c r="V1" s="20"/>
      <c r="W1" s="20"/>
      <c r="X1" s="20"/>
      <c r="Y1" s="20"/>
      <c r="Z1" s="20"/>
    </row>
    <row r="2" spans="1:26" ht="47.4" x14ac:dyDescent="0.9">
      <c r="A2" s="29"/>
      <c r="B2" s="29"/>
      <c r="C2" s="33" t="s">
        <v>1077</v>
      </c>
      <c r="D2" s="29"/>
      <c r="E2" s="29"/>
      <c r="F2" s="29"/>
      <c r="G2" s="29"/>
      <c r="H2" s="29"/>
      <c r="I2" s="29"/>
      <c r="J2" s="29"/>
      <c r="K2" s="29"/>
      <c r="L2" s="29"/>
      <c r="M2" s="20"/>
      <c r="N2" s="20"/>
      <c r="O2" s="20"/>
      <c r="P2" s="20"/>
      <c r="Q2" s="20"/>
      <c r="R2" s="20"/>
      <c r="S2" s="20"/>
      <c r="T2" s="20"/>
      <c r="U2" s="20"/>
      <c r="V2" s="20"/>
      <c r="W2" s="20"/>
      <c r="X2" s="20"/>
      <c r="Y2" s="20"/>
      <c r="Z2" s="20"/>
    </row>
    <row r="3" spans="1:26" x14ac:dyDescent="0.3">
      <c r="A3" s="29"/>
      <c r="B3" s="29"/>
      <c r="C3" s="29"/>
      <c r="D3" s="29"/>
      <c r="E3" s="29"/>
      <c r="F3" s="29"/>
      <c r="G3" s="29"/>
      <c r="H3" s="29"/>
      <c r="I3" s="29"/>
      <c r="J3" s="29"/>
      <c r="K3" s="29"/>
      <c r="L3" s="29"/>
      <c r="M3" s="20"/>
      <c r="N3" s="20"/>
      <c r="O3" s="20"/>
      <c r="P3" s="20"/>
      <c r="Q3" s="20"/>
      <c r="R3" s="20"/>
      <c r="S3" s="20"/>
      <c r="T3" s="20"/>
      <c r="U3" s="20"/>
      <c r="V3" s="20"/>
      <c r="W3" s="20"/>
      <c r="X3" s="20"/>
      <c r="Y3" s="20"/>
      <c r="Z3" s="20"/>
    </row>
    <row r="4" spans="1:26" x14ac:dyDescent="0.3">
      <c r="A4" s="20"/>
      <c r="B4" s="20"/>
      <c r="C4" s="20"/>
      <c r="D4" s="20"/>
      <c r="E4" s="20"/>
      <c r="F4" s="20"/>
      <c r="G4" s="20"/>
      <c r="H4" s="20"/>
      <c r="I4" s="20"/>
      <c r="J4" s="20"/>
      <c r="K4" s="20"/>
      <c r="L4" s="20"/>
      <c r="M4" s="20"/>
      <c r="N4" s="20"/>
      <c r="O4" s="20"/>
      <c r="P4" s="20"/>
      <c r="Q4" s="20"/>
      <c r="R4" s="20"/>
      <c r="S4" s="20"/>
      <c r="T4" s="20"/>
      <c r="U4" s="20"/>
      <c r="V4" s="20"/>
      <c r="W4" s="20"/>
      <c r="X4" s="20"/>
      <c r="Y4" s="20"/>
      <c r="Z4" s="20"/>
    </row>
    <row r="5" spans="1:26" x14ac:dyDescent="0.3">
      <c r="A5" s="20"/>
      <c r="B5" s="20"/>
      <c r="C5" s="20"/>
      <c r="D5" s="20"/>
      <c r="E5" s="20"/>
      <c r="F5" s="20"/>
      <c r="G5" s="20"/>
      <c r="H5" s="20"/>
      <c r="I5" s="20"/>
      <c r="J5" s="20"/>
      <c r="K5" s="20"/>
      <c r="L5" s="20"/>
      <c r="M5" s="20"/>
      <c r="N5" s="20"/>
      <c r="O5" s="20"/>
      <c r="P5" s="20"/>
      <c r="Q5" s="20"/>
      <c r="R5" s="20"/>
      <c r="S5" s="20"/>
      <c r="T5" s="20"/>
      <c r="U5" s="20"/>
      <c r="V5" s="20"/>
      <c r="W5" s="20"/>
      <c r="X5" s="20"/>
      <c r="Y5" s="20"/>
      <c r="Z5" s="20"/>
    </row>
    <row r="6" spans="1:26" x14ac:dyDescent="0.3">
      <c r="A6" s="20"/>
      <c r="B6" s="20"/>
      <c r="C6" s="20"/>
      <c r="D6" s="20"/>
      <c r="E6" s="20"/>
      <c r="F6" s="20"/>
      <c r="G6" s="20"/>
      <c r="H6" s="20"/>
      <c r="I6" s="20"/>
      <c r="J6" s="20"/>
      <c r="K6" s="20"/>
      <c r="L6" s="20"/>
      <c r="M6" s="20"/>
      <c r="N6" s="20"/>
      <c r="O6" s="20"/>
      <c r="P6" s="20"/>
      <c r="Q6" s="20"/>
      <c r="R6" s="20"/>
      <c r="S6" s="20"/>
      <c r="T6" s="20"/>
      <c r="U6" s="20"/>
      <c r="V6" s="20"/>
      <c r="W6" s="20"/>
      <c r="X6" s="20"/>
      <c r="Y6" s="20"/>
      <c r="Z6" s="20"/>
    </row>
    <row r="7" spans="1:26" x14ac:dyDescent="0.3">
      <c r="A7" s="20"/>
      <c r="B7" s="20"/>
      <c r="C7" s="20"/>
      <c r="D7" s="20"/>
      <c r="E7" s="20"/>
      <c r="F7" s="20"/>
      <c r="G7" s="20"/>
      <c r="H7" s="20"/>
      <c r="I7" s="20"/>
      <c r="J7" s="20"/>
      <c r="K7" s="20"/>
      <c r="L7" s="20"/>
      <c r="M7" s="20"/>
      <c r="N7" s="20"/>
      <c r="O7" s="20"/>
      <c r="P7" s="20"/>
      <c r="Q7" s="20"/>
      <c r="R7" s="20"/>
      <c r="S7" s="20"/>
      <c r="T7" s="20"/>
      <c r="U7" s="20"/>
      <c r="V7" s="20"/>
      <c r="W7" s="20"/>
      <c r="X7" s="20"/>
      <c r="Y7" s="20"/>
      <c r="Z7" s="20"/>
    </row>
    <row r="8" spans="1:26" x14ac:dyDescent="0.3">
      <c r="A8" s="20"/>
      <c r="B8" s="20"/>
      <c r="C8" s="20"/>
      <c r="D8" s="20"/>
      <c r="E8" s="20"/>
      <c r="F8" s="20"/>
      <c r="G8" s="20"/>
      <c r="H8" s="20"/>
      <c r="I8" s="20"/>
      <c r="J8" s="20"/>
      <c r="K8" s="20"/>
      <c r="L8" s="20"/>
      <c r="M8" s="20"/>
      <c r="N8" s="20"/>
      <c r="O8" s="20"/>
      <c r="P8" s="20"/>
      <c r="Q8" s="20"/>
      <c r="R8" s="20"/>
      <c r="S8" s="20"/>
      <c r="T8" s="20"/>
      <c r="U8" s="20"/>
      <c r="V8" s="20"/>
      <c r="W8" s="20"/>
      <c r="X8" s="20"/>
      <c r="Y8" s="20"/>
      <c r="Z8" s="20"/>
    </row>
    <row r="9" spans="1:26" x14ac:dyDescent="0.3">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x14ac:dyDescent="0.3">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spans="1:26" x14ac:dyDescent="0.3">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spans="1:26" x14ac:dyDescent="0.3">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x14ac:dyDescent="0.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spans="1:26" x14ac:dyDescent="0.3">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spans="1:26" x14ac:dyDescent="0.3">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x14ac:dyDescent="0.3">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spans="1:26" x14ac:dyDescent="0.3">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spans="1:26" x14ac:dyDescent="0.3">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x14ac:dyDescent="0.3">
      <c r="A19" s="20"/>
      <c r="B19" s="20"/>
      <c r="C19" s="20"/>
      <c r="D19" s="20"/>
      <c r="E19" s="20"/>
      <c r="F19" s="20"/>
      <c r="G19" s="20"/>
      <c r="H19" s="20"/>
      <c r="I19" s="20"/>
      <c r="J19" s="20"/>
      <c r="K19" s="20"/>
      <c r="L19" s="20"/>
      <c r="M19" s="20"/>
      <c r="N19" s="29"/>
      <c r="O19" s="29" t="str" cm="1">
        <f t="array" ref="O19:S19">'Pivot Tables'!B85:F85</f>
        <v>R01</v>
      </c>
      <c r="P19" s="29" t="str">
        <v>R02</v>
      </c>
      <c r="Q19" s="29" t="str">
        <v>R03</v>
      </c>
      <c r="R19" s="29" t="str">
        <v>R04</v>
      </c>
      <c r="S19" s="29" t="str">
        <v>R05</v>
      </c>
      <c r="T19" s="29" t="s">
        <v>1076</v>
      </c>
      <c r="U19" s="20"/>
      <c r="V19" s="20"/>
      <c r="W19" s="20"/>
      <c r="X19" s="20"/>
      <c r="Y19" s="20"/>
      <c r="Z19" s="20"/>
    </row>
    <row r="20" spans="1:26" x14ac:dyDescent="0.3">
      <c r="A20" s="20"/>
      <c r="B20" s="20"/>
      <c r="C20" s="20"/>
      <c r="D20" s="20"/>
      <c r="E20" s="20"/>
      <c r="F20" s="20"/>
      <c r="G20" s="20"/>
      <c r="H20" s="20"/>
      <c r="I20" s="20"/>
      <c r="J20" s="20"/>
      <c r="K20" s="20"/>
      <c r="L20" s="20"/>
      <c r="M20" s="20"/>
      <c r="N20" s="30" t="s">
        <v>1002</v>
      </c>
      <c r="O20" s="29"/>
      <c r="P20" s="29"/>
      <c r="Q20" s="29"/>
      <c r="R20" s="29"/>
      <c r="S20" s="29"/>
      <c r="T20" s="29"/>
      <c r="U20" s="20"/>
      <c r="V20" s="20"/>
      <c r="W20" s="20"/>
      <c r="X20" s="20"/>
      <c r="Y20" s="20"/>
      <c r="Z20" s="20"/>
    </row>
    <row r="21" spans="1:26" x14ac:dyDescent="0.3">
      <c r="A21" s="20"/>
      <c r="B21" s="20"/>
      <c r="C21" s="20"/>
      <c r="D21" s="20"/>
      <c r="E21" s="20"/>
      <c r="F21" s="20"/>
      <c r="G21" s="20"/>
      <c r="H21" s="20"/>
      <c r="I21" s="20"/>
      <c r="J21" s="20"/>
      <c r="K21" s="20"/>
      <c r="L21" s="20"/>
      <c r="M21" s="20"/>
      <c r="N21" s="31" t="s">
        <v>20</v>
      </c>
      <c r="O21" s="32">
        <v>891</v>
      </c>
      <c r="P21" s="32">
        <v>1332</v>
      </c>
      <c r="Q21" s="32">
        <v>1282</v>
      </c>
      <c r="R21" s="32">
        <v>739</v>
      </c>
      <c r="S21" s="32">
        <v>560</v>
      </c>
      <c r="T21" s="32">
        <v>4804</v>
      </c>
      <c r="U21" s="20"/>
      <c r="V21" s="20"/>
      <c r="W21" s="20"/>
      <c r="X21" s="20"/>
      <c r="Y21" s="20"/>
      <c r="Z21" s="20"/>
    </row>
    <row r="22" spans="1:26" x14ac:dyDescent="0.3">
      <c r="A22" s="20"/>
      <c r="B22" s="20"/>
      <c r="C22" s="20"/>
      <c r="D22" s="20"/>
      <c r="E22" s="20"/>
      <c r="F22" s="20"/>
      <c r="G22" s="20"/>
      <c r="H22" s="20"/>
      <c r="I22" s="20"/>
      <c r="J22" s="20"/>
      <c r="K22" s="20"/>
      <c r="L22" s="20"/>
      <c r="M22" s="20"/>
      <c r="N22" s="31" t="s">
        <v>12</v>
      </c>
      <c r="O22" s="32">
        <v>1991</v>
      </c>
      <c r="P22" s="32">
        <v>1886</v>
      </c>
      <c r="Q22" s="32">
        <v>1206</v>
      </c>
      <c r="R22" s="32">
        <v>884</v>
      </c>
      <c r="S22" s="32">
        <v>1722</v>
      </c>
      <c r="T22" s="32">
        <v>7689</v>
      </c>
      <c r="U22" s="20"/>
      <c r="V22" s="20"/>
      <c r="W22" s="20"/>
      <c r="X22" s="20"/>
      <c r="Y22" s="20"/>
      <c r="Z22" s="20"/>
    </row>
    <row r="23" spans="1:26" x14ac:dyDescent="0.3">
      <c r="A23" s="20"/>
      <c r="B23" s="20"/>
      <c r="C23" s="20"/>
      <c r="D23" s="20"/>
      <c r="E23" s="20"/>
      <c r="F23" s="20"/>
      <c r="G23" s="20"/>
      <c r="H23" s="20"/>
      <c r="I23" s="20"/>
      <c r="J23" s="20"/>
      <c r="K23" s="20"/>
      <c r="L23" s="20"/>
      <c r="M23" s="20"/>
      <c r="N23" s="31" t="s">
        <v>8</v>
      </c>
      <c r="O23" s="32">
        <v>1163</v>
      </c>
      <c r="P23" s="32">
        <v>1180</v>
      </c>
      <c r="Q23" s="32">
        <v>1616</v>
      </c>
      <c r="R23" s="32">
        <v>1043</v>
      </c>
      <c r="S23" s="32">
        <v>1747</v>
      </c>
      <c r="T23" s="32">
        <v>6749</v>
      </c>
      <c r="U23" s="20"/>
      <c r="V23" s="20"/>
      <c r="W23" s="20"/>
      <c r="X23" s="20"/>
      <c r="Y23" s="20"/>
      <c r="Z23" s="20"/>
    </row>
    <row r="24" spans="1:26" x14ac:dyDescent="0.3">
      <c r="A24" s="20"/>
      <c r="B24" s="20"/>
      <c r="C24" s="20"/>
      <c r="D24" s="20"/>
      <c r="E24" s="20"/>
      <c r="F24" s="20"/>
      <c r="G24" s="20"/>
      <c r="H24" s="20"/>
      <c r="I24" s="20"/>
      <c r="J24" s="20"/>
      <c r="K24" s="20"/>
      <c r="L24" s="20"/>
      <c r="M24" s="20"/>
      <c r="N24" s="31" t="s">
        <v>16</v>
      </c>
      <c r="O24" s="32">
        <v>1438</v>
      </c>
      <c r="P24" s="32">
        <v>1616</v>
      </c>
      <c r="Q24" s="32">
        <v>866</v>
      </c>
      <c r="R24" s="32">
        <v>829</v>
      </c>
      <c r="S24" s="32">
        <v>2070</v>
      </c>
      <c r="T24" s="32">
        <v>6819</v>
      </c>
      <c r="U24" s="20"/>
      <c r="V24" s="20"/>
      <c r="W24" s="20"/>
      <c r="X24" s="20"/>
      <c r="Y24" s="20"/>
      <c r="Z24" s="20"/>
    </row>
    <row r="25" spans="1:26" x14ac:dyDescent="0.3">
      <c r="A25" s="20"/>
      <c r="B25" s="20"/>
      <c r="C25" s="20"/>
      <c r="D25" s="20"/>
      <c r="E25" s="20"/>
      <c r="F25" s="20"/>
      <c r="G25" s="20"/>
      <c r="H25" s="20"/>
      <c r="I25" s="20"/>
      <c r="J25" s="20"/>
      <c r="K25" s="20"/>
      <c r="L25" s="20"/>
      <c r="M25" s="20"/>
      <c r="N25" s="30" t="s">
        <v>1001</v>
      </c>
      <c r="O25" s="29"/>
      <c r="P25" s="29"/>
      <c r="Q25" s="29"/>
      <c r="R25" s="29"/>
      <c r="S25" s="29"/>
      <c r="T25" s="29"/>
      <c r="U25" s="20"/>
      <c r="V25" s="20"/>
      <c r="W25" s="20"/>
      <c r="X25" s="20"/>
      <c r="Y25" s="20"/>
      <c r="Z25" s="20"/>
    </row>
    <row r="26" spans="1:26" x14ac:dyDescent="0.3">
      <c r="A26" s="20"/>
      <c r="B26" s="20"/>
      <c r="C26" s="20"/>
      <c r="D26" s="20"/>
      <c r="E26" s="20"/>
      <c r="F26" s="20"/>
      <c r="G26" s="20"/>
      <c r="H26" s="20"/>
      <c r="I26" s="20"/>
      <c r="J26" s="20"/>
      <c r="K26" s="20"/>
      <c r="L26" s="20"/>
      <c r="M26" s="20"/>
      <c r="N26" s="31" t="s">
        <v>24</v>
      </c>
      <c r="O26" s="32">
        <v>1233</v>
      </c>
      <c r="P26" s="32">
        <v>223</v>
      </c>
      <c r="Q26" s="32">
        <v>1680</v>
      </c>
      <c r="R26" s="32">
        <v>990</v>
      </c>
      <c r="S26" s="32">
        <v>1508</v>
      </c>
      <c r="T26" s="32">
        <v>5634</v>
      </c>
      <c r="U26" s="20"/>
      <c r="V26" s="20"/>
      <c r="W26" s="20"/>
      <c r="X26" s="20"/>
      <c r="Y26" s="20"/>
      <c r="Z26" s="20"/>
    </row>
    <row r="27" spans="1:26" x14ac:dyDescent="0.3">
      <c r="A27" s="20"/>
      <c r="B27" s="20"/>
      <c r="C27" s="20"/>
      <c r="D27" s="20"/>
      <c r="E27" s="20"/>
      <c r="F27" s="20"/>
      <c r="G27" s="20"/>
      <c r="H27" s="20"/>
      <c r="I27" s="20"/>
      <c r="J27" s="20"/>
      <c r="K27" s="20"/>
      <c r="L27" s="20"/>
      <c r="M27" s="20"/>
      <c r="N27" s="31" t="s">
        <v>15</v>
      </c>
      <c r="O27" s="32">
        <v>1598</v>
      </c>
      <c r="P27" s="32">
        <v>1907</v>
      </c>
      <c r="Q27" s="32">
        <v>869</v>
      </c>
      <c r="R27" s="32">
        <v>1426</v>
      </c>
      <c r="S27" s="32">
        <v>1416</v>
      </c>
      <c r="T27" s="32">
        <v>7216</v>
      </c>
      <c r="U27" s="20"/>
      <c r="V27" s="20"/>
      <c r="W27" s="20"/>
      <c r="X27" s="20"/>
      <c r="Y27" s="20"/>
      <c r="Z27" s="20"/>
    </row>
    <row r="28" spans="1:26" x14ac:dyDescent="0.3">
      <c r="A28" s="20"/>
      <c r="B28" s="20"/>
      <c r="C28" s="20"/>
      <c r="D28" s="20"/>
      <c r="E28" s="20"/>
      <c r="F28" s="20"/>
      <c r="G28" s="20"/>
      <c r="H28" s="20"/>
      <c r="I28" s="20"/>
      <c r="J28" s="20"/>
      <c r="K28" s="20"/>
      <c r="L28" s="20"/>
      <c r="M28" s="20"/>
      <c r="N28" s="31" t="s">
        <v>5</v>
      </c>
      <c r="O28" s="32">
        <v>900</v>
      </c>
      <c r="P28" s="32">
        <v>1016</v>
      </c>
      <c r="Q28" s="32">
        <v>960</v>
      </c>
      <c r="R28" s="32">
        <v>940</v>
      </c>
      <c r="S28" s="32">
        <v>1193</v>
      </c>
      <c r="T28" s="32">
        <v>5009</v>
      </c>
      <c r="U28" s="20"/>
      <c r="V28" s="20"/>
      <c r="W28" s="20"/>
      <c r="X28" s="20"/>
      <c r="Y28" s="20"/>
      <c r="Z28" s="20"/>
    </row>
    <row r="29" spans="1:26" x14ac:dyDescent="0.3">
      <c r="A29" s="20"/>
      <c r="B29" s="20"/>
      <c r="C29" s="20"/>
      <c r="D29" s="20"/>
      <c r="E29" s="20"/>
      <c r="F29" s="20"/>
      <c r="G29" s="20"/>
      <c r="H29" s="20"/>
      <c r="I29" s="20"/>
      <c r="J29" s="20"/>
      <c r="K29" s="20"/>
      <c r="L29" s="20"/>
      <c r="M29" s="20"/>
      <c r="N29" s="31" t="s">
        <v>18</v>
      </c>
      <c r="O29" s="32">
        <v>900</v>
      </c>
      <c r="P29" s="32">
        <v>1470</v>
      </c>
      <c r="Q29" s="32">
        <v>1617</v>
      </c>
      <c r="R29" s="32">
        <v>1314</v>
      </c>
      <c r="S29" s="32">
        <v>941</v>
      </c>
      <c r="T29" s="32">
        <v>6242</v>
      </c>
      <c r="U29" s="20"/>
      <c r="V29" s="20"/>
      <c r="W29" s="20"/>
      <c r="X29" s="20"/>
      <c r="Y29" s="20"/>
      <c r="Z29" s="20"/>
    </row>
    <row r="30" spans="1:26" x14ac:dyDescent="0.3">
      <c r="A30" s="20"/>
      <c r="B30" s="20"/>
      <c r="C30" s="20"/>
      <c r="D30" s="20"/>
      <c r="E30" s="20"/>
      <c r="F30" s="20"/>
      <c r="G30" s="20"/>
      <c r="H30" s="20"/>
      <c r="I30" s="20"/>
      <c r="J30" s="20"/>
      <c r="K30" s="20"/>
      <c r="L30" s="20"/>
      <c r="M30" s="20"/>
      <c r="N30" s="31" t="s">
        <v>14</v>
      </c>
      <c r="O30" s="32">
        <v>1255</v>
      </c>
      <c r="P30" s="32">
        <v>516</v>
      </c>
      <c r="Q30" s="32">
        <v>1874</v>
      </c>
      <c r="R30" s="32">
        <v>1863</v>
      </c>
      <c r="S30" s="32">
        <v>1722</v>
      </c>
      <c r="T30" s="32">
        <v>7230</v>
      </c>
      <c r="U30" s="20"/>
      <c r="V30" s="20"/>
      <c r="W30" s="20"/>
      <c r="X30" s="20"/>
      <c r="Y30" s="20"/>
      <c r="Z30" s="20"/>
    </row>
    <row r="31" spans="1:26" x14ac:dyDescent="0.3">
      <c r="A31" s="20"/>
      <c r="B31" s="20"/>
      <c r="C31" s="20"/>
      <c r="D31" s="20"/>
      <c r="E31" s="20"/>
      <c r="F31" s="20"/>
      <c r="G31" s="20"/>
      <c r="H31" s="20"/>
      <c r="I31" s="20"/>
      <c r="J31" s="20"/>
      <c r="K31" s="20"/>
      <c r="L31" s="20"/>
      <c r="M31" s="20"/>
      <c r="N31" s="31" t="s">
        <v>19</v>
      </c>
      <c r="O31" s="32">
        <v>1138</v>
      </c>
      <c r="P31" s="32">
        <v>1898</v>
      </c>
      <c r="Q31" s="32">
        <v>1482</v>
      </c>
      <c r="R31" s="32">
        <v>846</v>
      </c>
      <c r="S31" s="32">
        <v>1154</v>
      </c>
      <c r="T31" s="32">
        <v>6518</v>
      </c>
      <c r="U31" s="20"/>
      <c r="V31" s="20"/>
      <c r="W31" s="20"/>
      <c r="X31" s="20"/>
      <c r="Y31" s="20"/>
      <c r="Z31" s="20"/>
    </row>
    <row r="32" spans="1:26" x14ac:dyDescent="0.3">
      <c r="A32" s="20"/>
      <c r="B32" s="20"/>
      <c r="C32" s="20"/>
      <c r="D32" s="20"/>
      <c r="E32" s="20"/>
      <c r="F32" s="20"/>
      <c r="G32" s="20"/>
      <c r="H32" s="20"/>
      <c r="I32" s="20"/>
      <c r="J32" s="20"/>
      <c r="K32" s="20"/>
      <c r="L32" s="20"/>
      <c r="M32" s="20"/>
      <c r="N32" s="30" t="s">
        <v>1000</v>
      </c>
      <c r="O32" s="29"/>
      <c r="P32" s="29"/>
      <c r="Q32" s="29"/>
      <c r="R32" s="29"/>
      <c r="S32" s="29"/>
      <c r="T32" s="29"/>
      <c r="U32" s="20"/>
      <c r="V32" s="20"/>
      <c r="W32" s="20"/>
      <c r="X32" s="20"/>
      <c r="Y32" s="20"/>
      <c r="Z32" s="20"/>
    </row>
    <row r="33" spans="1:26" x14ac:dyDescent="0.3">
      <c r="A33" s="20"/>
      <c r="B33" s="20"/>
      <c r="C33" s="20"/>
      <c r="D33" s="20"/>
      <c r="E33" s="20"/>
      <c r="F33" s="20"/>
      <c r="G33" s="20"/>
      <c r="H33" s="20"/>
      <c r="I33" s="20"/>
      <c r="J33" s="20"/>
      <c r="K33" s="20"/>
      <c r="L33" s="20"/>
      <c r="M33" s="20"/>
      <c r="N33" s="31" t="s">
        <v>17</v>
      </c>
      <c r="O33" s="32">
        <v>1655</v>
      </c>
      <c r="P33" s="32">
        <v>805</v>
      </c>
      <c r="Q33" s="32">
        <v>2263</v>
      </c>
      <c r="R33" s="32">
        <v>987</v>
      </c>
      <c r="S33" s="32">
        <v>1075</v>
      </c>
      <c r="T33" s="32">
        <v>6785</v>
      </c>
      <c r="U33" s="20"/>
      <c r="V33" s="20"/>
      <c r="W33" s="20"/>
      <c r="X33" s="20"/>
      <c r="Y33" s="20"/>
      <c r="Z33" s="20"/>
    </row>
    <row r="34" spans="1:26" x14ac:dyDescent="0.3">
      <c r="A34" s="20"/>
      <c r="B34" s="20"/>
      <c r="C34" s="20"/>
      <c r="D34" s="20"/>
      <c r="E34" s="20"/>
      <c r="F34" s="20"/>
      <c r="G34" s="20"/>
      <c r="H34" s="20"/>
      <c r="I34" s="20"/>
      <c r="J34" s="20"/>
      <c r="K34" s="20"/>
      <c r="L34" s="20"/>
      <c r="M34" s="20"/>
      <c r="N34" s="31" t="s">
        <v>23</v>
      </c>
      <c r="O34" s="32">
        <v>1104</v>
      </c>
      <c r="P34" s="32">
        <v>2280</v>
      </c>
      <c r="Q34" s="32">
        <v>1445</v>
      </c>
      <c r="R34" s="32">
        <v>1722</v>
      </c>
      <c r="S34" s="32">
        <v>1196</v>
      </c>
      <c r="T34" s="32">
        <v>7747</v>
      </c>
      <c r="U34" s="20"/>
      <c r="V34" s="20"/>
      <c r="W34" s="20"/>
      <c r="X34" s="20"/>
      <c r="Y34" s="20"/>
      <c r="Z34" s="20"/>
    </row>
    <row r="35" spans="1:26" x14ac:dyDescent="0.3">
      <c r="A35" s="20"/>
      <c r="B35" s="20"/>
      <c r="C35" s="20"/>
      <c r="D35" s="20"/>
      <c r="E35" s="20"/>
      <c r="F35" s="20"/>
      <c r="G35" s="20"/>
      <c r="H35" s="20"/>
      <c r="I35" s="20"/>
      <c r="J35" s="20"/>
      <c r="K35" s="20"/>
      <c r="L35" s="20"/>
      <c r="M35" s="20"/>
      <c r="N35" s="31" t="s">
        <v>7</v>
      </c>
      <c r="O35" s="32">
        <v>372</v>
      </c>
      <c r="P35" s="32">
        <v>1818</v>
      </c>
      <c r="Q35" s="32">
        <v>1346</v>
      </c>
      <c r="R35" s="32">
        <v>1156</v>
      </c>
      <c r="S35" s="32">
        <v>1484</v>
      </c>
      <c r="T35" s="32">
        <v>6176</v>
      </c>
      <c r="U35" s="20"/>
      <c r="V35" s="20"/>
      <c r="W35" s="20"/>
      <c r="X35" s="20"/>
      <c r="Y35" s="20"/>
      <c r="Z35" s="20"/>
    </row>
    <row r="36" spans="1:26" x14ac:dyDescent="0.3">
      <c r="A36" s="20"/>
      <c r="B36" s="20"/>
      <c r="C36" s="20"/>
      <c r="D36" s="20"/>
      <c r="E36" s="20"/>
      <c r="F36" s="20"/>
      <c r="G36" s="20"/>
      <c r="H36" s="20"/>
      <c r="I36" s="20"/>
      <c r="J36" s="20"/>
      <c r="K36" s="20"/>
      <c r="L36" s="20"/>
      <c r="M36" s="20"/>
      <c r="N36" s="31" t="s">
        <v>22</v>
      </c>
      <c r="O36" s="32">
        <v>1415</v>
      </c>
      <c r="P36" s="32">
        <v>1271</v>
      </c>
      <c r="Q36" s="32">
        <v>1214</v>
      </c>
      <c r="R36" s="32">
        <v>1135</v>
      </c>
      <c r="S36" s="32">
        <v>1566</v>
      </c>
      <c r="T36" s="32">
        <v>6601</v>
      </c>
      <c r="U36" s="20"/>
      <c r="V36" s="20"/>
      <c r="W36" s="20"/>
      <c r="X36" s="20"/>
      <c r="Y36" s="20"/>
      <c r="Z36" s="20"/>
    </row>
    <row r="37" spans="1:26" x14ac:dyDescent="0.3">
      <c r="A37" s="20"/>
      <c r="B37" s="20"/>
      <c r="C37" s="20"/>
      <c r="D37" s="20"/>
      <c r="E37" s="20"/>
      <c r="F37" s="20"/>
      <c r="G37" s="20"/>
      <c r="H37" s="20"/>
      <c r="I37" s="20"/>
      <c r="J37" s="20"/>
      <c r="K37" s="20"/>
      <c r="L37" s="20"/>
      <c r="M37" s="20"/>
      <c r="N37" s="31" t="s">
        <v>21</v>
      </c>
      <c r="O37" s="32">
        <v>1362</v>
      </c>
      <c r="P37" s="32">
        <v>1363</v>
      </c>
      <c r="Q37" s="32">
        <v>1152</v>
      </c>
      <c r="R37" s="32">
        <v>777</v>
      </c>
      <c r="S37" s="32">
        <v>750</v>
      </c>
      <c r="T37" s="32">
        <v>5404</v>
      </c>
      <c r="U37" s="20"/>
      <c r="V37" s="20"/>
      <c r="W37" s="20"/>
      <c r="X37" s="20"/>
      <c r="Y37" s="20"/>
      <c r="Z37" s="20"/>
    </row>
    <row r="38" spans="1:26" x14ac:dyDescent="0.3">
      <c r="A38" s="20"/>
      <c r="B38" s="20"/>
      <c r="C38" s="20"/>
      <c r="D38" s="20"/>
      <c r="E38" s="20"/>
      <c r="F38" s="20"/>
      <c r="G38" s="20"/>
      <c r="H38" s="20"/>
      <c r="I38" s="20"/>
      <c r="J38" s="20"/>
      <c r="K38" s="20"/>
      <c r="L38" s="20"/>
      <c r="M38" s="20"/>
      <c r="N38" s="30"/>
      <c r="O38" s="32"/>
      <c r="P38" s="32"/>
      <c r="Q38" s="32"/>
      <c r="R38" s="32"/>
      <c r="S38" s="32"/>
      <c r="T38" s="32"/>
      <c r="U38" s="20"/>
      <c r="V38" s="20"/>
      <c r="W38" s="20"/>
      <c r="X38" s="20"/>
      <c r="Y38" s="20"/>
      <c r="Z38" s="20"/>
    </row>
    <row r="39" spans="1:26" x14ac:dyDescent="0.3">
      <c r="A39" s="20"/>
      <c r="B39" s="20"/>
      <c r="C39" s="20"/>
      <c r="D39" s="20"/>
      <c r="E39" s="20"/>
      <c r="F39" s="20"/>
      <c r="G39" s="20"/>
      <c r="H39" s="20"/>
      <c r="I39" s="20"/>
      <c r="J39" s="20"/>
      <c r="K39" s="20"/>
      <c r="L39" s="20"/>
      <c r="M39" s="20"/>
      <c r="N39" s="29"/>
      <c r="O39" s="29"/>
      <c r="P39" s="29"/>
      <c r="Q39" s="29"/>
      <c r="R39" s="29"/>
      <c r="S39" s="29"/>
      <c r="T39" s="29"/>
      <c r="U39" s="20"/>
      <c r="V39" s="20"/>
      <c r="W39" s="20"/>
      <c r="X39" s="20"/>
      <c r="Y39" s="20"/>
      <c r="Z39" s="20"/>
    </row>
    <row r="40" spans="1:26" x14ac:dyDescent="0.3">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spans="1:26" x14ac:dyDescent="0.3">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spans="1:26" x14ac:dyDescent="0.3">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spans="1:26" x14ac:dyDescent="0.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x14ac:dyDescent="0.3">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spans="1:26" x14ac:dyDescent="0.3">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spans="1:26" x14ac:dyDescent="0.3">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sheetData>
  <conditionalFormatting sqref="O21:S37">
    <cfRule type="dataBar" priority="4">
      <dataBar>
        <cfvo type="num" val="0"/>
        <cfvo type="formula" val="MAX($O$21:$S$37)*2"/>
        <color theme="1" tint="0.34998626667073579"/>
      </dataBar>
      <extLst>
        <ext xmlns:x14="http://schemas.microsoft.com/office/spreadsheetml/2009/9/main" uri="{B025F937-C7B1-47D3-B67F-A62EFF666E3E}">
          <x14:id>{C09F5DFE-C236-42B0-A4BF-1438446AA2B3}</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83658F42-7175-455C-8F9B-79F6C2956D62}">
            <xm:f>O$19='Pivot Tables'!$A$57</xm:f>
            <x14:dxf>
              <fill>
                <patternFill>
                  <bgColor theme="8" tint="0.39994506668294322"/>
                </patternFill>
              </fill>
              <border>
                <vertical/>
                <horizontal/>
              </border>
            </x14:dxf>
          </x14:cfRule>
          <x14:cfRule type="expression" priority="2" id="{39C9D39E-5D30-4514-9431-92C8900D6A58}">
            <xm:f>$O$19='Pivot Tables'!$A$57</xm:f>
            <x14:dxf>
              <fill>
                <patternFill>
                  <bgColor theme="8" tint="0.59996337778862885"/>
                </patternFill>
              </fill>
              <border>
                <vertical/>
                <horizontal/>
              </border>
            </x14:dxf>
          </x14:cfRule>
          <xm:sqref>O19:S37</xm:sqref>
        </x14:conditionalFormatting>
        <x14:conditionalFormatting xmlns:xm="http://schemas.microsoft.com/office/excel/2006/main">
          <x14:cfRule type="dataBar" id="{C09F5DFE-C236-42B0-A4BF-1438446AA2B3}">
            <x14:dataBar minLength="0" maxLength="100" gradient="0">
              <x14:cfvo type="num">
                <xm:f>0</xm:f>
              </x14:cfvo>
              <x14:cfvo type="formula">
                <xm:f>MAX($O$21:$S$37)*2</xm:f>
              </x14:cfvo>
              <x14:negativeFillColor rgb="FFFF0000"/>
              <x14:axisColor rgb="FF000000"/>
            </x14:dataBar>
          </x14:cfRule>
          <xm:sqref>O21:S37</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Assets</vt:lpstr>
      <vt:lpstr>Pivot Tables</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Mayowa Osasona</cp:lastModifiedBy>
  <dcterms:created xsi:type="dcterms:W3CDTF">2021-03-14T20:21:32Z</dcterms:created>
  <dcterms:modified xsi:type="dcterms:W3CDTF">2025-11-13T02:08:06Z</dcterms:modified>
</cp:coreProperties>
</file>